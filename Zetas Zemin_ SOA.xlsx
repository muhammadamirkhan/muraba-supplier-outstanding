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uraba-my.sharepoint.com/personal/syed_ali_muraba_ae/Documents/Umair.Syed/Usman/3-Accounts Payable/3-Suppliers/16-Zetas Zemin/"/>
    </mc:Choice>
  </mc:AlternateContent>
  <xr:revisionPtr revIDLastSave="3633" documentId="13_ncr:1_{792612EE-EA40-4298-ACCB-32D406AFE1BA}" xr6:coauthVersionLast="47" xr6:coauthVersionMax="47" xr10:uidLastSave="{AE46E3D5-C888-47FE-8333-2219278835AC}"/>
  <bookViews>
    <workbookView xWindow="-108" yWindow="-108" windowWidth="23256" windowHeight="13896" tabRatio="889" xr2:uid="{47E05692-A86C-4745-A4B1-0FE3A499A8E5}"/>
  </bookViews>
  <sheets>
    <sheet name="SOA" sheetId="28" r:id="rId1"/>
    <sheet name="Summary" sheetId="29" r:id="rId2"/>
    <sheet name="Main Contract" sheetId="33" r:id="rId3"/>
    <sheet name="Variations" sheetId="31" r:id="rId4"/>
    <sheet name="Sheet1" sheetId="34" r:id="rId5"/>
    <sheet name="14.Nov.2024" sheetId="23" state="hidden" r:id="rId6"/>
    <sheet name="13.Sep.2024" sheetId="22" state="hidden" r:id="rId7"/>
    <sheet name="09.Jul.2024" sheetId="21" state="hidden" r:id="rId8"/>
    <sheet name="08.Jul.2024" sheetId="8" state="hidden" r:id="rId9"/>
    <sheet name="31.Dec.2023" sheetId="18" state="hidden" r:id="rId10"/>
    <sheet name="Vendor List" sheetId="7" state="hidden" r:id="rId11"/>
  </sheets>
  <externalReferences>
    <externalReference r:id="rId12"/>
  </externalReferences>
  <definedNames>
    <definedName name="_xlnm._FilterDatabase" localSheetId="8" hidden="1">'08.Jul.2024'!$A$4:$D$4</definedName>
    <definedName name="_xlnm._FilterDatabase" localSheetId="7" hidden="1">'09.Jul.2024'!$A$4:$D$4</definedName>
    <definedName name="_xlnm._FilterDatabase" localSheetId="6" hidden="1">'13.Sep.2024'!$F$4:$H$4</definedName>
    <definedName name="_xlnm._FilterDatabase" localSheetId="5" hidden="1">'14.Nov.2024'!$E$4:$G$4</definedName>
    <definedName name="_xlnm._FilterDatabase" localSheetId="0" hidden="1">SOA!$G$4:$H$4</definedName>
    <definedName name="_xlnm._FilterDatabase" localSheetId="1" hidden="1">Summary!#REF!</definedName>
    <definedName name="_xlnm._FilterDatabase" localSheetId="3" hidden="1">Variations!$J$5:$L$74</definedName>
    <definedName name="_xlnm.Print_Area" localSheetId="8">'08.Jul.2024'!$A$1:$D$20</definedName>
    <definedName name="_xlnm.Print_Area" localSheetId="7">'09.Jul.2024'!$A$1:$D$20</definedName>
    <definedName name="_xlnm.Print_Area" localSheetId="6">'13.Sep.2024'!$A$1:$D$36</definedName>
    <definedName name="_xlnm.Print_Area" localSheetId="5">'14.Nov.2024'!$A$1:$D$38</definedName>
    <definedName name="_xlnm.Print_Area" localSheetId="2">'Main Contract'!$A$1:$G$34</definedName>
    <definedName name="_xlnm.Print_Area" localSheetId="0">SOA!$A$1:$G$56</definedName>
    <definedName name="_xlnm.Print_Area" localSheetId="1">Summary!$A$1:$H$25</definedName>
    <definedName name="_xlnm.Print_Area" localSheetId="3">Variations!$A$1:$H$76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28" l="1"/>
  <c r="L24" i="28"/>
  <c r="G32" i="33"/>
  <c r="F32" i="33"/>
  <c r="E32" i="33"/>
  <c r="I31" i="33"/>
  <c r="G31" i="33"/>
  <c r="F25" i="28"/>
  <c r="E25" i="28"/>
  <c r="C25" i="28"/>
  <c r="F24" i="28"/>
  <c r="F31" i="28" l="1"/>
  <c r="E35" i="28"/>
  <c r="E36" i="28"/>
  <c r="H10" i="29"/>
  <c r="L10" i="29"/>
  <c r="L12" i="29"/>
  <c r="L14" i="29"/>
  <c r="E21" i="28" l="1"/>
  <c r="I30" i="33"/>
  <c r="F23" i="28"/>
  <c r="J23" i="28"/>
  <c r="F29" i="33"/>
  <c r="C13" i="29" s="1"/>
  <c r="B47" i="28"/>
  <c r="G30" i="33"/>
  <c r="G27" i="33"/>
  <c r="G28" i="33"/>
  <c r="F21" i="28"/>
  <c r="F22" i="28" s="1"/>
  <c r="I28" i="33"/>
  <c r="I29" i="33" l="1"/>
  <c r="G29" i="33"/>
  <c r="F20" i="28"/>
  <c r="I27" i="33" l="1"/>
  <c r="G26" i="33"/>
  <c r="F17" i="28"/>
  <c r="F19" i="28"/>
  <c r="F18" i="28"/>
  <c r="I26" i="33" l="1"/>
  <c r="G25" i="33" l="1"/>
  <c r="E14" i="28"/>
  <c r="F14" i="28" s="1"/>
  <c r="F16" i="28"/>
  <c r="I24" i="33"/>
  <c r="I22" i="33"/>
  <c r="I23" i="33"/>
  <c r="G24" i="33"/>
  <c r="F15" i="28"/>
  <c r="H1" i="33"/>
  <c r="C12" i="29"/>
  <c r="G23" i="33"/>
  <c r="G22" i="33"/>
  <c r="I21" i="33"/>
  <c r="I20" i="33"/>
  <c r="B38" i="28" l="1"/>
  <c r="B50" i="28" s="1"/>
  <c r="G21" i="33" l="1"/>
  <c r="F13" i="28"/>
  <c r="B6" i="29"/>
  <c r="M10" i="33"/>
  <c r="M9" i="33"/>
  <c r="M8" i="33"/>
  <c r="B13" i="29"/>
  <c r="B12" i="29"/>
  <c r="G20" i="33"/>
  <c r="F12" i="28"/>
  <c r="I19" i="33"/>
  <c r="G19" i="33"/>
  <c r="E11" i="28"/>
  <c r="F11" i="28" s="1"/>
  <c r="D7" i="29"/>
  <c r="C7" i="29"/>
  <c r="B7" i="29"/>
  <c r="E7" i="33"/>
  <c r="A1" i="33"/>
  <c r="I18" i="33"/>
  <c r="G18" i="33"/>
  <c r="I17" i="33"/>
  <c r="G17" i="33"/>
  <c r="I16" i="33"/>
  <c r="G16" i="33"/>
  <c r="I15" i="33"/>
  <c r="G15" i="33"/>
  <c r="I14" i="33"/>
  <c r="G14" i="33"/>
  <c r="I13" i="33"/>
  <c r="G13" i="33"/>
  <c r="I12" i="33"/>
  <c r="G12" i="33"/>
  <c r="I11" i="33"/>
  <c r="G11" i="33"/>
  <c r="I10" i="33"/>
  <c r="G10" i="33"/>
  <c r="I9" i="33"/>
  <c r="G9" i="33"/>
  <c r="I8" i="33"/>
  <c r="G8" i="33"/>
  <c r="A2" i="33"/>
  <c r="G75" i="31"/>
  <c r="T9" i="31"/>
  <c r="F7" i="33" l="1"/>
  <c r="M7" i="33"/>
  <c r="C6" i="29"/>
  <c r="I7" i="33" l="1"/>
  <c r="I25" i="33"/>
  <c r="G7" i="33"/>
  <c r="D6" i="29"/>
  <c r="F6" i="29" s="1"/>
  <c r="A4" i="31"/>
  <c r="T11" i="31"/>
  <c r="T10" i="31"/>
  <c r="J7" i="31"/>
  <c r="F10" i="28"/>
  <c r="F9" i="28"/>
  <c r="C14" i="29"/>
  <c r="B14" i="29"/>
  <c r="D13" i="29"/>
  <c r="D12" i="29"/>
  <c r="H7" i="29"/>
  <c r="F7" i="29"/>
  <c r="E7" i="29"/>
  <c r="H1" i="29"/>
  <c r="A2" i="29" s="1"/>
  <c r="I32" i="33" l="1"/>
  <c r="B6" i="33"/>
  <c r="B32" i="33" s="1"/>
  <c r="D14" i="29"/>
  <c r="H6" i="29"/>
  <c r="C6" i="31"/>
  <c r="D6" i="31" s="1"/>
  <c r="F8" i="29"/>
  <c r="G7" i="29"/>
  <c r="D8" i="29"/>
  <c r="C8" i="29"/>
  <c r="F10" i="29" l="1"/>
  <c r="F11" i="29" s="1"/>
  <c r="L13" i="29"/>
  <c r="L16" i="29" s="1"/>
  <c r="H13" i="29"/>
  <c r="H14" i="29" s="1"/>
  <c r="C6" i="33"/>
  <c r="C32" i="33" s="1"/>
  <c r="B8" i="29"/>
  <c r="G8" i="29" s="1"/>
  <c r="E6" i="29"/>
  <c r="G6" i="29"/>
  <c r="E7" i="31"/>
  <c r="E75" i="31" s="1"/>
  <c r="H75" i="31" s="1"/>
  <c r="D6" i="33" l="1"/>
  <c r="D32" i="33" s="1"/>
  <c r="E8" i="29"/>
  <c r="F7" i="31"/>
  <c r="H7" i="31"/>
  <c r="B75" i="31"/>
  <c r="C75" i="31"/>
  <c r="M12" i="33" l="1"/>
  <c r="M18" i="33"/>
  <c r="M17" i="33"/>
  <c r="M16" i="33"/>
  <c r="M14" i="33"/>
  <c r="M13" i="33"/>
  <c r="M15" i="33"/>
  <c r="D75" i="31"/>
  <c r="F75" i="31" s="1"/>
  <c r="C8" i="28" l="1"/>
  <c r="F8" i="28" s="1"/>
  <c r="C7" i="28"/>
  <c r="F7" i="28" s="1"/>
  <c r="C6" i="28"/>
  <c r="F6" i="28" s="1"/>
  <c r="C5" i="28"/>
  <c r="E5" i="28" l="1"/>
  <c r="F5" i="28" l="1"/>
  <c r="N32" i="28"/>
  <c r="H1" i="28"/>
  <c r="A2" i="28" s="1"/>
  <c r="F27" i="28" l="1"/>
  <c r="F28" i="28" s="1"/>
  <c r="F32" i="28"/>
  <c r="F33" i="28" s="1"/>
  <c r="C26" i="28"/>
  <c r="I34" i="23" l="1"/>
  <c r="H34" i="23"/>
  <c r="H19" i="23" l="1"/>
  <c r="L10" i="23"/>
  <c r="L11" i="23" s="1"/>
  <c r="K10" i="23"/>
  <c r="K11" i="23" s="1"/>
  <c r="J9" i="23"/>
  <c r="B37" i="23"/>
  <c r="C25" i="23"/>
  <c r="C37" i="23" s="1"/>
  <c r="D5" i="23"/>
  <c r="D6" i="23" s="1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A2" i="23"/>
  <c r="J31" i="22"/>
  <c r="J30" i="22"/>
  <c r="J29" i="22"/>
  <c r="D25" i="23" l="1"/>
  <c r="D26" i="23" s="1"/>
  <c r="D27" i="23" s="1"/>
  <c r="D28" i="23" s="1"/>
  <c r="D29" i="23" s="1"/>
  <c r="D37" i="23"/>
  <c r="C39" i="23"/>
  <c r="D30" i="23"/>
  <c r="D31" i="23" s="1"/>
  <c r="D32" i="23" s="1"/>
  <c r="D33" i="23" s="1"/>
  <c r="D34" i="23" s="1"/>
  <c r="D35" i="23" s="1"/>
  <c r="D36" i="23" s="1"/>
  <c r="M9" i="23"/>
  <c r="J10" i="23"/>
  <c r="J11" i="23" s="1"/>
  <c r="C25" i="22"/>
  <c r="M10" i="23" l="1"/>
  <c r="M11" i="23" s="1"/>
  <c r="I19" i="23" s="1"/>
  <c r="F51" i="22"/>
  <c r="J42" i="22"/>
  <c r="J43" i="22" s="1"/>
  <c r="I42" i="22"/>
  <c r="I43" i="22" s="1"/>
  <c r="H41" i="22"/>
  <c r="H42" i="22" s="1"/>
  <c r="C35" i="22"/>
  <c r="B35" i="22"/>
  <c r="D5" i="22"/>
  <c r="D6" i="22" s="1"/>
  <c r="D7" i="22" s="1"/>
  <c r="D8" i="22" s="1"/>
  <c r="D9" i="22" s="1"/>
  <c r="D10" i="22" s="1"/>
  <c r="D11" i="22" s="1"/>
  <c r="D12" i="22" s="1"/>
  <c r="D13" i="22" s="1"/>
  <c r="D14" i="22" s="1"/>
  <c r="D15" i="22" s="1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A2" i="22"/>
  <c r="F33" i="21"/>
  <c r="J24" i="21"/>
  <c r="J25" i="21" s="1"/>
  <c r="I24" i="21"/>
  <c r="I25" i="21" s="1"/>
  <c r="H23" i="21"/>
  <c r="C19" i="21"/>
  <c r="D17" i="21"/>
  <c r="C17" i="21"/>
  <c r="B17" i="21"/>
  <c r="D5" i="21"/>
  <c r="D6" i="21" s="1"/>
  <c r="D7" i="21" s="1"/>
  <c r="D8" i="21" s="1"/>
  <c r="D9" i="21" s="1"/>
  <c r="D10" i="21" s="1"/>
  <c r="D11" i="21" s="1"/>
  <c r="D12" i="21" s="1"/>
  <c r="D13" i="21" s="1"/>
  <c r="D14" i="21" s="1"/>
  <c r="D15" i="21" s="1"/>
  <c r="A2" i="21"/>
  <c r="D35" i="22" l="1"/>
  <c r="C37" i="22"/>
  <c r="K41" i="22"/>
  <c r="K42" i="22" s="1"/>
  <c r="K43" i="22" s="1"/>
  <c r="H43" i="22"/>
  <c r="H25" i="21"/>
  <c r="K23" i="21"/>
  <c r="H24" i="21"/>
  <c r="G51" i="22" l="1"/>
  <c r="K24" i="21"/>
  <c r="K25" i="21" s="1"/>
  <c r="G33" i="21" s="1"/>
  <c r="D17" i="8" l="1"/>
  <c r="C17" i="8"/>
  <c r="B17" i="8"/>
  <c r="A2" i="8" l="1"/>
  <c r="C10" i="18" l="1"/>
  <c r="C12" i="18" s="1"/>
  <c r="B10" i="18"/>
  <c r="D10" i="18" s="1"/>
  <c r="D6" i="18"/>
  <c r="D7" i="18" s="1"/>
  <c r="D8" i="18" s="1"/>
  <c r="D9" i="18" s="1"/>
  <c r="D5" i="18"/>
  <c r="E8" i="7" l="1"/>
  <c r="E14" i="7"/>
  <c r="D14" i="7"/>
  <c r="E15" i="7"/>
  <c r="D15" i="7"/>
  <c r="J24" i="8"/>
  <c r="E20" i="7"/>
  <c r="D20" i="7"/>
  <c r="F15" i="7" l="1"/>
  <c r="C14" i="7"/>
  <c r="F8" i="7"/>
  <c r="D8" i="7"/>
  <c r="C8" i="7"/>
  <c r="F14" i="7"/>
  <c r="C15" i="7"/>
  <c r="F20" i="7"/>
  <c r="C20" i="7"/>
  <c r="D3" i="7"/>
  <c r="C9" i="7"/>
  <c r="J25" i="8"/>
  <c r="F33" i="8"/>
  <c r="H23" i="8"/>
  <c r="K23" i="8" s="1"/>
  <c r="K24" i="8" s="1"/>
  <c r="D5" i="8"/>
  <c r="D6" i="8" s="1"/>
  <c r="D7" i="8" s="1"/>
  <c r="D8" i="8" s="1"/>
  <c r="D9" i="8" s="1"/>
  <c r="D10" i="8" s="1"/>
  <c r="D11" i="8" s="1"/>
  <c r="D12" i="8" s="1"/>
  <c r="D18" i="7"/>
  <c r="E18" i="7"/>
  <c r="D17" i="7"/>
  <c r="C3" i="7" l="1"/>
  <c r="E3" i="7"/>
  <c r="E6" i="7"/>
  <c r="C19" i="8"/>
  <c r="C6" i="7" s="1"/>
  <c r="F3" i="7"/>
  <c r="K25" i="8"/>
  <c r="C18" i="7"/>
  <c r="H24" i="8"/>
  <c r="H25" i="8" s="1"/>
  <c r="I24" i="8"/>
  <c r="I25" i="8" s="1"/>
  <c r="F6" i="7"/>
  <c r="D6" i="7"/>
  <c r="F18" i="7"/>
  <c r="E9" i="7"/>
  <c r="D9" i="7"/>
  <c r="E19" i="7"/>
  <c r="E16" i="7"/>
  <c r="D16" i="7"/>
  <c r="D19" i="7" l="1"/>
  <c r="E21" i="7"/>
  <c r="C21" i="7"/>
  <c r="D21" i="7"/>
  <c r="F16" i="7"/>
  <c r="C16" i="7"/>
  <c r="F17" i="7"/>
  <c r="E17" i="7"/>
  <c r="C17" i="7"/>
  <c r="G33" i="8"/>
  <c r="F9" i="7"/>
  <c r="F21" i="7"/>
  <c r="F19" i="7"/>
  <c r="C19" i="7"/>
  <c r="I1" i="31" l="1"/>
  <c r="A2" i="31" s="1"/>
</calcChain>
</file>

<file path=xl/sharedStrings.xml><?xml version="1.0" encoding="utf-8"?>
<sst xmlns="http://schemas.openxmlformats.org/spreadsheetml/2006/main" count="554" uniqueCount="226">
  <si>
    <t>Zetas Zemin</t>
  </si>
  <si>
    <t>Invoice No</t>
  </si>
  <si>
    <t>Invoice Date</t>
  </si>
  <si>
    <t>Invoice Amount</t>
  </si>
  <si>
    <t>Payment Date</t>
  </si>
  <si>
    <t>Payment Amount</t>
  </si>
  <si>
    <t>Balance</t>
  </si>
  <si>
    <t>Description</t>
  </si>
  <si>
    <t>Remarks</t>
  </si>
  <si>
    <t>ZETDU-01151</t>
  </si>
  <si>
    <t>Enabling works design &amp; early preparation works - PC01 - Stage 1A</t>
  </si>
  <si>
    <t>ZETDU-01171</t>
  </si>
  <si>
    <t>Enabling works design &amp; early preparation works - PC02 - Stage 1A</t>
  </si>
  <si>
    <t>ZETDU-01176</t>
  </si>
  <si>
    <t>Enabling works design &amp; early preparation works - PC03 - Stage 1A</t>
  </si>
  <si>
    <t>ZETDU-01189</t>
  </si>
  <si>
    <t>Enabling works design &amp; early preparation works - PC04 - Stage 1A</t>
  </si>
  <si>
    <t>ZETDU-01202</t>
  </si>
  <si>
    <t>Enabling works design &amp; early preparation works - PC05 - 10% of the contract - Stage 1B</t>
  </si>
  <si>
    <t>ZETDU-01203</t>
  </si>
  <si>
    <t>Enabling works design &amp; early preparation works - PC06 - Variation 01</t>
  </si>
  <si>
    <t>ZETDU-01221</t>
  </si>
  <si>
    <t>Enabling works design &amp; early preparation works - PC06 - Stage 1B</t>
  </si>
  <si>
    <t>ZETDU-01243</t>
  </si>
  <si>
    <t>Enabling works design &amp; early preparation works - PC07 - Stage 1B</t>
  </si>
  <si>
    <t>ZETDU-01249</t>
  </si>
  <si>
    <t>Enabling works design &amp; early preparation works - PC08 - Stage 1B</t>
  </si>
  <si>
    <t>Total - AED</t>
  </si>
  <si>
    <t>-</t>
  </si>
  <si>
    <t>% of Amount paid</t>
  </si>
  <si>
    <t>Payment Summary</t>
  </si>
  <si>
    <t>Date</t>
  </si>
  <si>
    <t>Amount</t>
  </si>
  <si>
    <t>Zetas Zemin Teknologisi</t>
  </si>
  <si>
    <t>Scope</t>
  </si>
  <si>
    <t>Contract value
Inclu VAT</t>
  </si>
  <si>
    <t>Amount Invoiced</t>
  </si>
  <si>
    <t>Payment</t>
  </si>
  <si>
    <t>Total Balance</t>
  </si>
  <si>
    <t>Due Balance</t>
  </si>
  <si>
    <t>Not Due</t>
  </si>
  <si>
    <t>Paid % to Contract</t>
  </si>
  <si>
    <t>Main Contract</t>
  </si>
  <si>
    <t>Variation</t>
  </si>
  <si>
    <t>Total</t>
  </si>
  <si>
    <t>Summary_Main Contract</t>
  </si>
  <si>
    <t>Phase</t>
  </si>
  <si>
    <t>Contract Value Exclu. VAT</t>
  </si>
  <si>
    <t>Payment
Excluding VAT</t>
  </si>
  <si>
    <t>Stage 1A</t>
  </si>
  <si>
    <t>Stage 1B</t>
  </si>
  <si>
    <t>Particulars</t>
  </si>
  <si>
    <t>Contract Value
--AED--</t>
  </si>
  <si>
    <t>Vat 5%
--AED--</t>
  </si>
  <si>
    <t>Total Value 
--AED--</t>
  </si>
  <si>
    <t>Amount Invoiced
AED</t>
  </si>
  <si>
    <t>Payment
AED</t>
  </si>
  <si>
    <t>Balance
--AED--</t>
  </si>
  <si>
    <t>Amount
AED</t>
  </si>
  <si>
    <t>Narration</t>
  </si>
  <si>
    <t>Contract Value</t>
  </si>
  <si>
    <t>Stag 1A - Enabling works design &amp; early prepation works - PC01</t>
  </si>
  <si>
    <t>Funds transferred from ADCB LLC</t>
  </si>
  <si>
    <t>27.02.2025</t>
  </si>
  <si>
    <t>Stag 1A - Enabling works design &amp; early prepation works - PC02</t>
  </si>
  <si>
    <t>Funds transferred from CBD Escrow</t>
  </si>
  <si>
    <t>19.06.2025</t>
  </si>
  <si>
    <t>Stag 1A - Enabling works design &amp; early prepation works - PC03</t>
  </si>
  <si>
    <t>26.06.2025</t>
  </si>
  <si>
    <t>Stag 1A - Enabling works design &amp; early prepation works - PC04</t>
  </si>
  <si>
    <t>01.07.2025</t>
  </si>
  <si>
    <t>Stag 1B - Enabling works design &amp; early prepation works - PC05 - 10%</t>
  </si>
  <si>
    <t>19.07.2025</t>
  </si>
  <si>
    <t>Stag 1B - Enabling works design &amp; early prepation works - PC06</t>
  </si>
  <si>
    <t>28.08.2025</t>
  </si>
  <si>
    <t>Stag 1B - Enabling works design &amp; early prepation works - PC07</t>
  </si>
  <si>
    <t>Arup Gulf Limited</t>
  </si>
  <si>
    <t>Invoiced % to Contract</t>
  </si>
  <si>
    <t>Payment Transferred From</t>
  </si>
  <si>
    <t>Variation 1: Sales Gallery - Shifting</t>
  </si>
  <si>
    <t>Enabling works design &amp; early prepation works - PC06 - Variation 01</t>
  </si>
  <si>
    <t>23.07.2025</t>
  </si>
  <si>
    <t>Total Variation + Others</t>
  </si>
  <si>
    <t>Payment
--AED--</t>
  </si>
  <si>
    <t>Notes</t>
  </si>
  <si>
    <t>Contract Value - 20% of AED 2,546,250</t>
  </si>
  <si>
    <t>Transfer on 10-Jul-2023 against 20% Of Contract Value</t>
  </si>
  <si>
    <t>Mobilisation</t>
  </si>
  <si>
    <t>End Jul, 2023</t>
  </si>
  <si>
    <t>Concept</t>
  </si>
  <si>
    <t>Scheme</t>
  </si>
  <si>
    <t>Digital Design</t>
  </si>
  <si>
    <t>Invoice No. 57-230079 - Dated 17-Aug-2023</t>
  </si>
  <si>
    <t>End Aug, 2023</t>
  </si>
  <si>
    <t>Transfer on 28-Aug-2023 against Invoice No. 57-230079</t>
  </si>
  <si>
    <t>End Sep, 2023</t>
  </si>
  <si>
    <t>Invoice No. 57-230090 - Dated 31-Aug-2023</t>
  </si>
  <si>
    <t>End Oct, 2023</t>
  </si>
  <si>
    <t>Transfer on 27-Sep-2023 against Invoice No. 57-230090</t>
  </si>
  <si>
    <t>End Nov, 2023</t>
  </si>
  <si>
    <t>Invoice No. 57-230106 - Dated 30-Sep-2023</t>
  </si>
  <si>
    <t>End Dec, 2023</t>
  </si>
  <si>
    <t>Transfer on 27-Nov-2023 against Invoice No. 57-230106</t>
  </si>
  <si>
    <t>End Jan, 2024</t>
  </si>
  <si>
    <t>Invoice No. 57-230121 - Dated 31-Oct-2023</t>
  </si>
  <si>
    <t>End Feb, 2024</t>
  </si>
  <si>
    <t>Transfer on  11-Jan-2024 against Invoice No. 57-230121</t>
  </si>
  <si>
    <t>End Mar, 2024</t>
  </si>
  <si>
    <t>Invoice No. 57-230143 - Dated 30-Nov-2023</t>
  </si>
  <si>
    <t>End Apr, 2024</t>
  </si>
  <si>
    <t>Transfer on 26-Jan-2024 against Invoice No. 57-230143</t>
  </si>
  <si>
    <t>End May, 2024</t>
  </si>
  <si>
    <t>Invoice No. 57-230159 - Dated 31-Dec-2023</t>
  </si>
  <si>
    <t>Transfer on  29-Feb-2024 against Invoice No. 57-230159</t>
  </si>
  <si>
    <t>Invoice No. 57-230175 - Dated 31-Jan-2024</t>
  </si>
  <si>
    <t>Invoice No. 57-230195 - Dated 29-Feb-2024</t>
  </si>
  <si>
    <t>Invoice No. 57-230202 - Dated 18-Mar-2024</t>
  </si>
  <si>
    <t>Transfer on  28-Mar-2024 against Invoice No. 57-230175</t>
  </si>
  <si>
    <t>Transfer on  28-Mar-2024 against Invoice No. 57-230202 (SoundLab - 10% )</t>
  </si>
  <si>
    <t>Transfer on 28-Apr-2024 against Invoice No. 57-230195</t>
  </si>
  <si>
    <t>Invoice No. 57-230215  - Dated 31-Mar-2024</t>
  </si>
  <si>
    <t xml:space="preserve">Transfer on  02-Jul-2024 against Invoice No. 57-230215 </t>
  </si>
  <si>
    <t>Invoice No. 57-240013 - Dated 30-Apr-2024</t>
  </si>
  <si>
    <t>Invoice 11: End April 24 as per agreed proposal dated on 21st June 2023</t>
  </si>
  <si>
    <t>Invoice No. 57-240028 - Dated 31-May-2024</t>
  </si>
  <si>
    <t>Invoice 12: End May 24 as per agreed proposal dated on 21st June 2023 - SoundLab - 50% on delivery of Phase 1 - VO2 Architectural Support - May 2024</t>
  </si>
  <si>
    <t>Invoice No. 57-240063 - Dated 30-Jun-2024</t>
  </si>
  <si>
    <t>VO2 Architectural Support - June 20242 - SoundLab - 40% on delivery of SoundLab presentation - Soundlab - Flight upgrade cost MAD-DXB for Stuart Clarke as instructed by Stuart Magee</t>
  </si>
  <si>
    <t>Invoice No. 57-240085 - Dated 31-Jul-2024</t>
  </si>
  <si>
    <t>VO2 Architectural Support - July 2024 - Invoice 13: End Jul 24 as per agreed proposal dated on 19 June 2024 - IAG review - mobilisation</t>
  </si>
  <si>
    <t>Invoice No. 57-240101 - Dated 31-Aug-2024</t>
  </si>
  <si>
    <t>VO3 Invoice 14: End Aug 24 Technical Advisory Services as per agreed proposal dated on 28 June 2024 - VO3 Architectural Support - August 2024 as per agreed proposal dated on 28 June 2024 - VO4 MEP Technical review of IAG
project- 1st review as per agreed proposal dated on 19 June 2024 - VO5 Extension of Services – Fernando Garcia First trip on Aug 2024 as per agreed proposal dated on 16 July 2024</t>
  </si>
  <si>
    <t>Transfer on  22-Oct-2024 against Invoice No. 57-240013, 57-240028, 57-240063, 57-240101</t>
  </si>
  <si>
    <t>Invoice No. 57-240116 - Dated 27-Sep-2024</t>
  </si>
  <si>
    <t>Invoice 15: End Sep 24 as per agreed proposal dated on 19 June 2024 , 
VO3 Architectural Support - September2024 , 
VO5 Extension of Services – Fernando Garcia September 2024</t>
  </si>
  <si>
    <t>Transfer on Jul 10, 2023 against Inv …..</t>
  </si>
  <si>
    <t>Transfer on Aug 28, 2023 against Inv 57-230079</t>
  </si>
  <si>
    <t>Transfer on Sep 27, 2023 against Inv 57-230090</t>
  </si>
  <si>
    <t>Transfer on Nov 27, 2023 against Inv 57-230106</t>
  </si>
  <si>
    <t>Transfer on Jan 11, 2024  against Inv 57-230121</t>
  </si>
  <si>
    <t>Transfer on Jan 26, 2024  against Inv  57-230143</t>
  </si>
  <si>
    <t xml:space="preserve">Transfer on Feb 29, 2024  against Inv 57-230159 </t>
  </si>
  <si>
    <t>Transfer on Mar 28, 2024  against Inv 57-230175</t>
  </si>
  <si>
    <t>Transfer on Apr 28, 2024  against Inv 57-230195</t>
  </si>
  <si>
    <t>Transfer on Jul 02, 2024  against Inv 57-230215</t>
  </si>
  <si>
    <t>Statement of Accounts as of Dec 31, 2023</t>
  </si>
  <si>
    <t>Vendor Name</t>
  </si>
  <si>
    <t>CURRENCY</t>
  </si>
  <si>
    <t>% PAID</t>
  </si>
  <si>
    <t>CONTRACT VALUE</t>
  </si>
  <si>
    <t>PAYMENT</t>
  </si>
  <si>
    <t>BALANCE</t>
  </si>
  <si>
    <t>Al Hai &amp; Al Mukaddam for Geotechnical works LLC</t>
  </si>
  <si>
    <t>AED</t>
  </si>
  <si>
    <t>Al Tamimi &amp; Company Ltd</t>
  </si>
  <si>
    <t>Anta Travel &amp; Tours</t>
  </si>
  <si>
    <t>Atelier One</t>
  </si>
  <si>
    <t>BETC BNP</t>
  </si>
  <si>
    <t>EUR</t>
  </si>
  <si>
    <t>CBRE Dubai LLC</t>
  </si>
  <si>
    <t>Dezire Project Consultant</t>
  </si>
  <si>
    <t>FALCON SURVEY ENGINEERING Consultants</t>
  </si>
  <si>
    <t>Flint Culture MENA Marketing Management LLC</t>
  </si>
  <si>
    <t>Korn/Ferry (Schweiz) GmbH</t>
  </si>
  <si>
    <t>LuckyLion FZC-LLC</t>
  </si>
  <si>
    <t>Quali Consult Engineers</t>
  </si>
  <si>
    <t>March Made LLC</t>
  </si>
  <si>
    <t>USD</t>
  </si>
  <si>
    <t>Mazarine Middle East FZ-LLC</t>
  </si>
  <si>
    <t>Pentagram Design Limited</t>
  </si>
  <si>
    <t>GBP</t>
  </si>
  <si>
    <t>RCR Aranda Pigem Vilalta Arquitectes SLP</t>
  </si>
  <si>
    <t>Surface DMCC</t>
  </si>
  <si>
    <t>WSP Middle East Limited - Dubai Branch</t>
  </si>
  <si>
    <t>Stag 1B - Enabling works design &amp; early prepation works - PC08</t>
  </si>
  <si>
    <t>ZETDU-01263</t>
  </si>
  <si>
    <t>Enabling works design &amp; early preparation works - PC09 - Stage 1B</t>
  </si>
  <si>
    <t>26.11.2025</t>
  </si>
  <si>
    <t>26.08.2025</t>
  </si>
  <si>
    <t>Stag 1B - Enabling works design &amp; early prepation works - PC09</t>
  </si>
  <si>
    <t>19.12.2025</t>
  </si>
  <si>
    <t>Enabling works design &amp; early preparation works - PC10 - Stage 1B</t>
  </si>
  <si>
    <t>ZETDU-01288</t>
  </si>
  <si>
    <t>Stag 1B - Enabling works design &amp; early prepation works - PC10</t>
  </si>
  <si>
    <t>15.01.2026</t>
  </si>
  <si>
    <t>ZETDU-01294</t>
  </si>
  <si>
    <t>Enabling works design &amp; early preparation works - PC11 - Stage 1B</t>
  </si>
  <si>
    <t>Stag 1B - Enabling works design &amp; early prepation works - PC11</t>
  </si>
  <si>
    <t>04.02.2026</t>
  </si>
  <si>
    <t>ZETDU-01308</t>
  </si>
  <si>
    <t>Enabling works design &amp; early preparation works - PC12 - Stage 1B</t>
  </si>
  <si>
    <t>Stag 1B - Enabling works design &amp; early prepation works - PC12</t>
  </si>
  <si>
    <t>Outstanding VAT Amount</t>
  </si>
  <si>
    <t>Outstanding VAT Amount Less First Invoice</t>
  </si>
  <si>
    <t>10.03.2026</t>
  </si>
  <si>
    <t>Addition</t>
  </si>
  <si>
    <t>Contract+Variation</t>
  </si>
  <si>
    <t>Paid</t>
  </si>
  <si>
    <t>Receivables in 2026</t>
  </si>
  <si>
    <t>Escrow balance</t>
  </si>
  <si>
    <t>Shortfall</t>
  </si>
  <si>
    <t>Particular</t>
  </si>
  <si>
    <t>Zetas</t>
  </si>
  <si>
    <t>ZETDU-01325</t>
  </si>
  <si>
    <t>Enabling works design &amp; early preparation works - PC13 - Stage 1B</t>
  </si>
  <si>
    <t>Stag 1B - Enabling works design &amp; early prepation works - PC13</t>
  </si>
  <si>
    <t>ZETDU-01332</t>
  </si>
  <si>
    <t>Enabling works design &amp; early preparation works - PC14 - Stage 1B</t>
  </si>
  <si>
    <t>Stag 1B - Enabling works design &amp; early prepation works - PC14</t>
  </si>
  <si>
    <t>04.05.2026</t>
  </si>
  <si>
    <t>Enabling works design &amp; early preparation works - PC15 - Stage 1B</t>
  </si>
  <si>
    <t>Stag 1B - Enabling works design &amp; early prepation works - PC15</t>
  </si>
  <si>
    <t>ZETDU-01363</t>
  </si>
  <si>
    <t>18.06.2026</t>
  </si>
  <si>
    <t>ZETDU-01365</t>
  </si>
  <si>
    <t>Enabling works design &amp; early preparation works - PC16 - Stage 1B</t>
  </si>
  <si>
    <t>Stag 1B - Enabling works design &amp; early prepation works - PC16</t>
  </si>
  <si>
    <t>ZETDU-01371</t>
  </si>
  <si>
    <t>Enabling works design &amp; early preparation works - PC17 - Stage 1B</t>
  </si>
  <si>
    <t>Stag 1B - Enabling works design &amp; early prepation works - PC17</t>
  </si>
  <si>
    <t>Funds transferred from ADCB LLC &amp; CBD Escrow</t>
  </si>
  <si>
    <t>27.07.2026 + 31.07.2026</t>
  </si>
  <si>
    <t>13.08.2026</t>
  </si>
  <si>
    <t>ZETDU-01382</t>
  </si>
  <si>
    <t>Enabling works design &amp; early preparation works - PC18 - Stage 1B</t>
  </si>
  <si>
    <t>Stag 1B - Enabling works design &amp; early prepation works - PC18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</si>
</sst>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#,##0.0_ ;\-#,##0.0\ "/>
    <numFmt numFmtId="167" formatCode="[$-409]d\-mmm\-yyyy;@"/>
    <numFmt numFmtId="168" formatCode="[$-409]d\-mmm\-yy;@"/>
    <numFmt numFmtId="169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3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10"/>
      <color theme="3" tint="0.249977111117893"/>
      <name val="Calibri"/>
      <family val="2"/>
      <scheme val="minor"/>
    </font>
    <font>
      <sz val="10"/>
      <color rgb="FF104861"/>
      <name val="Calibri"/>
      <family val="2"/>
    </font>
    <font>
      <b/>
      <sz val="11"/>
      <color theme="3"/>
      <name val="Calibri"/>
      <family val="2"/>
      <scheme val="minor"/>
    </font>
    <font>
      <b/>
      <sz val="15"/>
      <color theme="4"/>
      <name val="Calibri"/>
      <family val="2"/>
      <scheme val="minor"/>
    </font>
    <font>
      <b/>
      <sz val="13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3"/>
      <color theme="4" tint="-0.249977111117893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0" tint="-0.14996795556505021"/>
      </right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0" tint="-0.149967955565050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 tint="-0.14996795556505021"/>
      </left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 tint="-0.14996795556505021"/>
      </left>
      <right/>
      <top style="thin">
        <color theme="4" tint="0.39997558519241921"/>
      </top>
      <bottom/>
      <diagonal/>
    </border>
    <border>
      <left style="thin">
        <color theme="0" tint="-0.14996795556505021"/>
      </left>
      <right/>
      <top style="double">
        <color theme="4"/>
      </top>
      <bottom/>
      <diagonal/>
    </border>
    <border>
      <left style="thin">
        <color theme="0" tint="-0.149967955565050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67955565050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  <border>
      <left style="thin">
        <color theme="0" tint="-0.149967955565050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4506668294322"/>
      </right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0" tint="-0.14996795556505021"/>
      </left>
      <right style="thin">
        <color theme="4" tint="0.39994506668294322"/>
      </right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4" tint="0.39994506668294322"/>
      </right>
      <top style="double">
        <color theme="4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4" tint="0.39997558519241921"/>
      </right>
      <top/>
      <bottom/>
      <diagonal/>
    </border>
    <border>
      <left/>
      <right style="thin">
        <color rgb="FF8EA9DB"/>
      </right>
      <top style="thin">
        <color rgb="FF8EA9DB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0" tint="-0.14996795556505021"/>
      </right>
      <top style="double">
        <color theme="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 tint="0.39994506668294322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16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2" applyBorder="1"/>
    <xf numFmtId="0" fontId="3" fillId="0" borderId="0" xfId="3" applyBorder="1"/>
    <xf numFmtId="37" fontId="5" fillId="0" borderId="0" xfId="1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37" fontId="6" fillId="0" borderId="0" xfId="0" applyNumberFormat="1" applyFont="1" applyAlignment="1">
      <alignment horizontal="center"/>
    </xf>
    <xf numFmtId="0" fontId="7" fillId="0" borderId="0" xfId="0" applyFont="1"/>
    <xf numFmtId="10" fontId="8" fillId="0" borderId="0" xfId="0" applyNumberFormat="1" applyFont="1" applyAlignment="1">
      <alignment horizontal="center"/>
    </xf>
    <xf numFmtId="43" fontId="0" fillId="0" borderId="0" xfId="1" applyFont="1"/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37" fontId="5" fillId="3" borderId="4" xfId="1" applyNumberFormat="1" applyFont="1" applyFill="1" applyBorder="1" applyAlignment="1">
      <alignment horizontal="center"/>
    </xf>
    <xf numFmtId="37" fontId="5" fillId="3" borderId="4" xfId="0" applyNumberFormat="1" applyFont="1" applyFill="1" applyBorder="1" applyAlignment="1">
      <alignment horizontal="center"/>
    </xf>
    <xf numFmtId="37" fontId="5" fillId="3" borderId="5" xfId="0" applyNumberFormat="1" applyFont="1" applyFill="1" applyBorder="1" applyAlignment="1">
      <alignment horizontal="center"/>
    </xf>
    <xf numFmtId="37" fontId="5" fillId="0" borderId="4" xfId="0" applyNumberFormat="1" applyFont="1" applyBorder="1" applyAlignment="1">
      <alignment horizontal="center"/>
    </xf>
    <xf numFmtId="37" fontId="5" fillId="0" borderId="4" xfId="1" applyNumberFormat="1" applyFont="1" applyBorder="1" applyAlignment="1">
      <alignment horizontal="center"/>
    </xf>
    <xf numFmtId="37" fontId="5" fillId="0" borderId="5" xfId="0" applyNumberFormat="1" applyFont="1" applyBorder="1" applyAlignment="1">
      <alignment horizontal="center"/>
    </xf>
    <xf numFmtId="0" fontId="10" fillId="0" borderId="3" xfId="0" applyFont="1" applyBorder="1"/>
    <xf numFmtId="0" fontId="10" fillId="3" borderId="3" xfId="0" applyFont="1" applyFill="1" applyBorder="1"/>
    <xf numFmtId="0" fontId="11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4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/>
    </xf>
    <xf numFmtId="10" fontId="5" fillId="3" borderId="4" xfId="0" applyNumberFormat="1" applyFont="1" applyFill="1" applyBorder="1" applyAlignment="1">
      <alignment horizontal="center"/>
    </xf>
    <xf numFmtId="0" fontId="16" fillId="0" borderId="3" xfId="0" applyFont="1" applyBorder="1"/>
    <xf numFmtId="0" fontId="16" fillId="3" borderId="3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2" applyBorder="1" applyAlignment="1">
      <alignment vertical="center"/>
    </xf>
    <xf numFmtId="167" fontId="0" fillId="0" borderId="0" xfId="0" applyNumberFormat="1" applyAlignment="1">
      <alignment vertical="center"/>
    </xf>
    <xf numFmtId="0" fontId="3" fillId="0" borderId="0" xfId="3" applyBorder="1" applyAlignment="1">
      <alignment vertical="center"/>
    </xf>
    <xf numFmtId="0" fontId="17" fillId="3" borderId="13" xfId="0" applyFont="1" applyFill="1" applyBorder="1" applyAlignment="1">
      <alignment vertical="center"/>
    </xf>
    <xf numFmtId="37" fontId="17" fillId="3" borderId="14" xfId="1" applyNumberFormat="1" applyFont="1" applyFill="1" applyBorder="1" applyAlignment="1">
      <alignment horizontal="right" vertical="center"/>
    </xf>
    <xf numFmtId="37" fontId="17" fillId="3" borderId="14" xfId="0" applyNumberFormat="1" applyFont="1" applyFill="1" applyBorder="1" applyAlignment="1">
      <alignment horizontal="right" vertical="center"/>
    </xf>
    <xf numFmtId="37" fontId="17" fillId="3" borderId="15" xfId="0" applyNumberFormat="1" applyFont="1" applyFill="1" applyBorder="1" applyAlignment="1">
      <alignment horizontal="right" vertical="center"/>
    </xf>
    <xf numFmtId="0" fontId="17" fillId="0" borderId="13" xfId="0" applyFont="1" applyBorder="1" applyAlignment="1">
      <alignment vertical="center"/>
    </xf>
    <xf numFmtId="37" fontId="17" fillId="0" borderId="14" xfId="0" applyNumberFormat="1" applyFont="1" applyBorder="1" applyAlignment="1">
      <alignment horizontal="right" vertical="center"/>
    </xf>
    <xf numFmtId="37" fontId="17" fillId="0" borderId="14" xfId="1" applyNumberFormat="1" applyFont="1" applyBorder="1" applyAlignment="1">
      <alignment horizontal="right" vertical="center"/>
    </xf>
    <xf numFmtId="37" fontId="17" fillId="0" borderId="15" xfId="0" applyNumberFormat="1" applyFont="1" applyBorder="1" applyAlignment="1">
      <alignment horizontal="right" vertical="center"/>
    </xf>
    <xf numFmtId="43" fontId="18" fillId="0" borderId="0" xfId="1" applyFont="1" applyAlignment="1">
      <alignment vertical="center"/>
    </xf>
    <xf numFmtId="0" fontId="19" fillId="0" borderId="16" xfId="0" applyFont="1" applyBorder="1" applyAlignment="1">
      <alignment vertical="center"/>
    </xf>
    <xf numFmtId="37" fontId="19" fillId="0" borderId="17" xfId="0" applyNumberFormat="1" applyFont="1" applyBorder="1" applyAlignment="1">
      <alignment horizontal="right" vertical="center"/>
    </xf>
    <xf numFmtId="37" fontId="19" fillId="0" borderId="18" xfId="0" applyNumberFormat="1" applyFont="1" applyBorder="1" applyAlignment="1">
      <alignment horizontal="right" vertical="center"/>
    </xf>
    <xf numFmtId="10" fontId="19" fillId="0" borderId="0" xfId="0" applyNumberFormat="1" applyFont="1" applyAlignment="1">
      <alignment horizontal="center" vertical="center"/>
    </xf>
    <xf numFmtId="37" fontId="17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5" fontId="15" fillId="0" borderId="9" xfId="0" applyNumberFormat="1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37" fontId="17" fillId="0" borderId="19" xfId="1" applyNumberFormat="1" applyFont="1" applyFill="1" applyBorder="1" applyAlignment="1">
      <alignment horizontal="right" vertical="center"/>
    </xf>
    <xf numFmtId="37" fontId="17" fillId="0" borderId="19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9" fillId="0" borderId="23" xfId="0" applyFont="1" applyBorder="1" applyAlignment="1">
      <alignment vertical="center"/>
    </xf>
    <xf numFmtId="37" fontId="19" fillId="0" borderId="20" xfId="0" applyNumberFormat="1" applyFont="1" applyBorder="1" applyAlignment="1">
      <alignment horizontal="right" vertical="center"/>
    </xf>
    <xf numFmtId="0" fontId="11" fillId="2" borderId="5" xfId="0" applyFont="1" applyFill="1" applyBorder="1" applyAlignment="1">
      <alignment horizontal="center" vertical="center" wrapText="1"/>
    </xf>
    <xf numFmtId="167" fontId="18" fillId="0" borderId="0" xfId="0" applyNumberFormat="1" applyFont="1" applyAlignment="1">
      <alignment vertical="center"/>
    </xf>
    <xf numFmtId="37" fontId="17" fillId="3" borderId="24" xfId="0" applyNumberFormat="1" applyFont="1" applyFill="1" applyBorder="1" applyAlignment="1">
      <alignment horizontal="left" vertical="center"/>
    </xf>
    <xf numFmtId="37" fontId="17" fillId="3" borderId="24" xfId="1" applyNumberFormat="1" applyFont="1" applyFill="1" applyBorder="1" applyAlignment="1">
      <alignment horizontal="left" vertical="center"/>
    </xf>
    <xf numFmtId="37" fontId="17" fillId="3" borderId="21" xfId="0" applyNumberFormat="1" applyFont="1" applyFill="1" applyBorder="1" applyAlignment="1">
      <alignment horizontal="left" vertical="center"/>
    </xf>
    <xf numFmtId="37" fontId="17" fillId="0" borderId="24" xfId="0" applyNumberFormat="1" applyFont="1" applyBorder="1" applyAlignment="1">
      <alignment horizontal="left" vertical="center"/>
    </xf>
    <xf numFmtId="37" fontId="17" fillId="0" borderId="24" xfId="1" applyNumberFormat="1" applyFont="1" applyBorder="1" applyAlignment="1">
      <alignment horizontal="left" vertical="center"/>
    </xf>
    <xf numFmtId="37" fontId="17" fillId="0" borderId="21" xfId="0" applyNumberFormat="1" applyFont="1" applyBorder="1" applyAlignment="1">
      <alignment horizontal="left" vertical="center"/>
    </xf>
    <xf numFmtId="37" fontId="19" fillId="3" borderId="22" xfId="0" applyNumberFormat="1" applyFont="1" applyFill="1" applyBorder="1" applyAlignment="1">
      <alignment horizontal="left" vertical="center"/>
    </xf>
    <xf numFmtId="37" fontId="19" fillId="3" borderId="18" xfId="0" applyNumberFormat="1" applyFont="1" applyFill="1" applyBorder="1" applyAlignment="1">
      <alignment horizontal="left" vertical="center"/>
    </xf>
    <xf numFmtId="37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37" fontId="19" fillId="0" borderId="22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37" fontId="17" fillId="0" borderId="19" xfId="1" applyNumberFormat="1" applyFont="1" applyFill="1" applyBorder="1" applyAlignment="1">
      <alignment horizontal="center" vertical="center"/>
    </xf>
    <xf numFmtId="37" fontId="17" fillId="0" borderId="19" xfId="0" applyNumberFormat="1" applyFont="1" applyBorder="1" applyAlignment="1">
      <alignment horizontal="center" vertical="center"/>
    </xf>
    <xf numFmtId="37" fontId="19" fillId="0" borderId="20" xfId="0" applyNumberFormat="1" applyFont="1" applyBorder="1" applyAlignment="1">
      <alignment horizontal="center" vertical="center"/>
    </xf>
    <xf numFmtId="37" fontId="17" fillId="0" borderId="4" xfId="1" applyNumberFormat="1" applyFont="1" applyFill="1" applyBorder="1" applyAlignment="1">
      <alignment horizontal="left" vertical="center"/>
    </xf>
    <xf numFmtId="37" fontId="17" fillId="0" borderId="4" xfId="0" applyNumberFormat="1" applyFont="1" applyBorder="1" applyAlignment="1">
      <alignment horizontal="left" vertical="center"/>
    </xf>
    <xf numFmtId="37" fontId="19" fillId="0" borderId="26" xfId="0" applyNumberFormat="1" applyFont="1" applyBorder="1" applyAlignment="1">
      <alignment horizontal="left" vertical="center"/>
    </xf>
    <xf numFmtId="0" fontId="11" fillId="0" borderId="25" xfId="0" applyFont="1" applyBorder="1" applyAlignment="1">
      <alignment horizontal="center" vertical="center" wrapText="1"/>
    </xf>
    <xf numFmtId="37" fontId="17" fillId="0" borderId="27" xfId="0" applyNumberFormat="1" applyFont="1" applyBorder="1" applyAlignment="1">
      <alignment horizontal="center" vertical="center"/>
    </xf>
    <xf numFmtId="37" fontId="19" fillId="0" borderId="28" xfId="0" applyNumberFormat="1" applyFont="1" applyBorder="1" applyAlignment="1">
      <alignment horizontal="center" vertical="center"/>
    </xf>
    <xf numFmtId="15" fontId="0" fillId="0" borderId="0" xfId="0" applyNumberFormat="1"/>
    <xf numFmtId="37" fontId="0" fillId="0" borderId="0" xfId="0" applyNumberFormat="1"/>
    <xf numFmtId="164" fontId="0" fillId="0" borderId="0" xfId="0" applyNumberFormat="1"/>
    <xf numFmtId="168" fontId="20" fillId="0" borderId="0" xfId="0" applyNumberFormat="1" applyFont="1" applyAlignment="1">
      <alignment horizontal="center" vertical="center"/>
    </xf>
    <xf numFmtId="43" fontId="0" fillId="0" borderId="0" xfId="1" applyFont="1" applyAlignment="1">
      <alignment vertical="center"/>
    </xf>
    <xf numFmtId="0" fontId="4" fillId="2" borderId="31" xfId="0" applyFont="1" applyFill="1" applyBorder="1" applyAlignment="1">
      <alignment horizontal="center" vertical="center" wrapText="1"/>
    </xf>
    <xf numFmtId="37" fontId="21" fillId="3" borderId="5" xfId="0" applyNumberFormat="1" applyFont="1" applyFill="1" applyBorder="1" applyAlignment="1">
      <alignment horizontal="left" vertical="center"/>
    </xf>
    <xf numFmtId="37" fontId="21" fillId="0" borderId="5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9" fillId="0" borderId="32" xfId="0" applyFont="1" applyBorder="1" applyAlignment="1">
      <alignment vertical="center"/>
    </xf>
    <xf numFmtId="37" fontId="19" fillId="0" borderId="33" xfId="0" applyNumberFormat="1" applyFont="1" applyBorder="1" applyAlignment="1">
      <alignment horizontal="center" vertical="center"/>
    </xf>
    <xf numFmtId="169" fontId="19" fillId="0" borderId="33" xfId="1" applyNumberFormat="1" applyFont="1" applyBorder="1" applyAlignment="1">
      <alignment horizontal="center" vertical="center"/>
    </xf>
    <xf numFmtId="169" fontId="19" fillId="0" borderId="23" xfId="1" applyNumberFormat="1" applyFont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vertical="center"/>
    </xf>
    <xf numFmtId="43" fontId="0" fillId="0" borderId="0" xfId="0" applyNumberFormat="1"/>
    <xf numFmtId="0" fontId="17" fillId="0" borderId="34" xfId="0" applyFont="1" applyBorder="1" applyAlignment="1">
      <alignment horizontal="center" vertical="center"/>
    </xf>
    <xf numFmtId="169" fontId="17" fillId="0" borderId="35" xfId="1" applyNumberFormat="1" applyFont="1" applyBorder="1" applyAlignment="1">
      <alignment horizontal="center" vertical="center"/>
    </xf>
    <xf numFmtId="168" fontId="17" fillId="0" borderId="36" xfId="1" applyNumberFormat="1" applyFont="1" applyBorder="1" applyAlignment="1">
      <alignment horizontal="center" vertical="center"/>
    </xf>
    <xf numFmtId="168" fontId="17" fillId="0" borderId="36" xfId="0" applyNumberFormat="1" applyFont="1" applyBorder="1" applyAlignment="1">
      <alignment horizontal="center" vertical="center"/>
    </xf>
    <xf numFmtId="169" fontId="17" fillId="0" borderId="36" xfId="1" applyNumberFormat="1" applyFont="1" applyBorder="1" applyAlignment="1">
      <alignment horizontal="center" vertical="center"/>
    </xf>
    <xf numFmtId="0" fontId="17" fillId="0" borderId="36" xfId="0" applyFont="1" applyBorder="1" applyAlignment="1">
      <alignment vertical="center"/>
    </xf>
    <xf numFmtId="9" fontId="0" fillId="0" borderId="0" xfId="4" applyFont="1"/>
    <xf numFmtId="0" fontId="4" fillId="2" borderId="0" xfId="0" applyFont="1" applyFill="1" applyAlignment="1">
      <alignment horizontal="center" vertical="center" wrapText="1"/>
    </xf>
    <xf numFmtId="0" fontId="23" fillId="0" borderId="0" xfId="2" applyFont="1" applyBorder="1" applyAlignment="1">
      <alignment vertical="center"/>
    </xf>
    <xf numFmtId="0" fontId="24" fillId="0" borderId="0" xfId="3" applyFont="1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5" fillId="6" borderId="0" xfId="0" applyFont="1" applyFill="1"/>
    <xf numFmtId="37" fontId="25" fillId="6" borderId="0" xfId="1" applyNumberFormat="1" applyFont="1" applyFill="1" applyAlignment="1">
      <alignment horizontal="center"/>
    </xf>
    <xf numFmtId="37" fontId="25" fillId="6" borderId="0" xfId="0" applyNumberFormat="1" applyFont="1" applyFill="1" applyAlignment="1">
      <alignment horizontal="center"/>
    </xf>
    <xf numFmtId="9" fontId="25" fillId="6" borderId="0" xfId="4" applyFont="1" applyFill="1" applyAlignment="1">
      <alignment horizontal="center"/>
    </xf>
    <xf numFmtId="0" fontId="25" fillId="0" borderId="0" xfId="0" applyFont="1"/>
    <xf numFmtId="37" fontId="25" fillId="0" borderId="0" xfId="0" applyNumberFormat="1" applyFont="1" applyAlignment="1">
      <alignment horizontal="center"/>
    </xf>
    <xf numFmtId="9" fontId="25" fillId="0" borderId="0" xfId="4" applyFont="1" applyFill="1" applyAlignment="1">
      <alignment horizontal="center"/>
    </xf>
    <xf numFmtId="0" fontId="26" fillId="0" borderId="0" xfId="0" applyFont="1"/>
    <xf numFmtId="37" fontId="26" fillId="0" borderId="0" xfId="0" applyNumberFormat="1" applyFont="1" applyAlignment="1">
      <alignment horizontal="center"/>
    </xf>
    <xf numFmtId="0" fontId="24" fillId="0" borderId="0" xfId="3" applyFont="1" applyBorder="1"/>
    <xf numFmtId="37" fontId="25" fillId="0" borderId="0" xfId="1" applyNumberFormat="1" applyFont="1" applyFill="1" applyAlignment="1">
      <alignment horizontal="center"/>
    </xf>
    <xf numFmtId="37" fontId="26" fillId="0" borderId="0" xfId="1" applyNumberFormat="1" applyFont="1" applyFill="1" applyAlignment="1">
      <alignment horizontal="center"/>
    </xf>
    <xf numFmtId="0" fontId="27" fillId="0" borderId="0" xfId="3" applyFont="1" applyBorder="1" applyAlignment="1">
      <alignment vertical="center"/>
    </xf>
    <xf numFmtId="0" fontId="27" fillId="0" borderId="0" xfId="3" applyFont="1" applyBorder="1"/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vertical="center"/>
    </xf>
    <xf numFmtId="37" fontId="17" fillId="3" borderId="19" xfId="1" applyNumberFormat="1" applyFont="1" applyFill="1" applyBorder="1" applyAlignment="1">
      <alignment horizontal="center" vertical="center"/>
    </xf>
    <xf numFmtId="37" fontId="17" fillId="3" borderId="19" xfId="0" applyNumberFormat="1" applyFont="1" applyFill="1" applyBorder="1" applyAlignment="1">
      <alignment horizontal="center" vertical="center"/>
    </xf>
    <xf numFmtId="37" fontId="17" fillId="6" borderId="15" xfId="0" applyNumberFormat="1" applyFont="1" applyFill="1" applyBorder="1" applyAlignment="1">
      <alignment horizontal="center" vertical="center"/>
    </xf>
    <xf numFmtId="37" fontId="17" fillId="6" borderId="21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9" fontId="17" fillId="0" borderId="19" xfId="4" applyFont="1" applyFill="1" applyBorder="1" applyAlignment="1">
      <alignment horizontal="center" vertical="center"/>
    </xf>
    <xf numFmtId="37" fontId="17" fillId="0" borderId="15" xfId="0" applyNumberFormat="1" applyFont="1" applyBorder="1" applyAlignment="1">
      <alignment horizontal="center" vertical="center"/>
    </xf>
    <xf numFmtId="37" fontId="17" fillId="0" borderId="21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8" fontId="17" fillId="0" borderId="3" xfId="0" quotePrefix="1" applyNumberFormat="1" applyFont="1" applyBorder="1" applyAlignment="1">
      <alignment horizontal="center" vertical="center"/>
    </xf>
    <xf numFmtId="9" fontId="17" fillId="3" borderId="19" xfId="4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vertical="center"/>
    </xf>
    <xf numFmtId="37" fontId="19" fillId="3" borderId="19" xfId="1" applyNumberFormat="1" applyFont="1" applyFill="1" applyBorder="1" applyAlignment="1">
      <alignment horizontal="center" vertical="center"/>
    </xf>
    <xf numFmtId="37" fontId="19" fillId="3" borderId="19" xfId="0" applyNumberFormat="1" applyFont="1" applyFill="1" applyBorder="1" applyAlignment="1">
      <alignment horizontal="center" vertical="center"/>
    </xf>
    <xf numFmtId="9" fontId="19" fillId="3" borderId="19" xfId="4" applyFont="1" applyFill="1" applyBorder="1" applyAlignment="1">
      <alignment horizontal="center" vertical="center"/>
    </xf>
    <xf numFmtId="37" fontId="19" fillId="6" borderId="15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37" fontId="19" fillId="0" borderId="19" xfId="1" applyNumberFormat="1" applyFont="1" applyFill="1" applyBorder="1" applyAlignment="1">
      <alignment horizontal="center" vertical="center"/>
    </xf>
    <xf numFmtId="37" fontId="19" fillId="0" borderId="19" xfId="0" applyNumberFormat="1" applyFont="1" applyBorder="1" applyAlignment="1">
      <alignment horizontal="center" vertical="center"/>
    </xf>
    <xf numFmtId="9" fontId="19" fillId="0" borderId="19" xfId="4" applyFont="1" applyFill="1" applyBorder="1" applyAlignment="1">
      <alignment horizontal="center" vertical="center"/>
    </xf>
    <xf numFmtId="37" fontId="19" fillId="0" borderId="15" xfId="0" applyNumberFormat="1" applyFont="1" applyBorder="1" applyAlignment="1">
      <alignment horizontal="center" vertical="center"/>
    </xf>
    <xf numFmtId="0" fontId="4" fillId="0" borderId="0" xfId="0" applyFont="1"/>
    <xf numFmtId="0" fontId="28" fillId="3" borderId="10" xfId="0" applyFont="1" applyFill="1" applyBorder="1" applyAlignment="1">
      <alignment vertical="center"/>
    </xf>
    <xf numFmtId="37" fontId="28" fillId="3" borderId="19" xfId="1" applyNumberFormat="1" applyFont="1" applyFill="1" applyBorder="1" applyAlignment="1">
      <alignment horizontal="center" vertical="center"/>
    </xf>
    <xf numFmtId="37" fontId="28" fillId="3" borderId="19" xfId="0" applyNumberFormat="1" applyFont="1" applyFill="1" applyBorder="1" applyAlignment="1">
      <alignment horizontal="center" vertical="center"/>
    </xf>
    <xf numFmtId="37" fontId="28" fillId="6" borderId="15" xfId="0" applyNumberFormat="1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vertical="center"/>
    </xf>
    <xf numFmtId="9" fontId="28" fillId="0" borderId="10" xfId="4" applyFont="1" applyFill="1" applyBorder="1" applyAlignment="1">
      <alignment vertical="center"/>
    </xf>
    <xf numFmtId="37" fontId="28" fillId="0" borderId="19" xfId="0" applyNumberFormat="1" applyFont="1" applyBorder="1" applyAlignment="1">
      <alignment horizontal="center" vertical="center"/>
    </xf>
    <xf numFmtId="37" fontId="28" fillId="0" borderId="19" xfId="1" applyNumberFormat="1" applyFont="1" applyFill="1" applyBorder="1" applyAlignment="1">
      <alignment horizontal="center" vertical="center"/>
    </xf>
    <xf numFmtId="37" fontId="28" fillId="0" borderId="15" xfId="0" applyNumberFormat="1" applyFont="1" applyBorder="1" applyAlignment="1">
      <alignment horizontal="center" vertical="center"/>
    </xf>
    <xf numFmtId="169" fontId="28" fillId="0" borderId="3" xfId="1" applyNumberFormat="1" applyFont="1" applyBorder="1" applyAlignment="1">
      <alignment vertical="center"/>
    </xf>
    <xf numFmtId="9" fontId="28" fillId="0" borderId="3" xfId="4" applyFont="1" applyBorder="1" applyAlignment="1">
      <alignment vertical="center"/>
    </xf>
    <xf numFmtId="169" fontId="28" fillId="3" borderId="3" xfId="1" applyNumberFormat="1" applyFont="1" applyFill="1" applyBorder="1" applyAlignment="1">
      <alignment vertical="center"/>
    </xf>
    <xf numFmtId="169" fontId="28" fillId="0" borderId="3" xfId="1" applyNumberFormat="1" applyFont="1" applyFill="1" applyBorder="1" applyAlignment="1">
      <alignment vertical="center"/>
    </xf>
    <xf numFmtId="9" fontId="29" fillId="0" borderId="10" xfId="4" applyFont="1" applyFill="1" applyBorder="1" applyAlignment="1">
      <alignment vertical="center"/>
    </xf>
    <xf numFmtId="37" fontId="29" fillId="0" borderId="19" xfId="0" applyNumberFormat="1" applyFont="1" applyBorder="1" applyAlignment="1">
      <alignment horizontal="center" vertical="center"/>
    </xf>
    <xf numFmtId="0" fontId="22" fillId="0" borderId="0" xfId="2" applyFont="1" applyBorder="1" applyAlignment="1">
      <alignment vertical="center"/>
    </xf>
    <xf numFmtId="168" fontId="17" fillId="3" borderId="37" xfId="1" applyNumberFormat="1" applyFont="1" applyFill="1" applyBorder="1" applyAlignment="1">
      <alignment horizontal="center" vertical="center"/>
    </xf>
    <xf numFmtId="169" fontId="17" fillId="3" borderId="38" xfId="1" applyNumberFormat="1" applyFont="1" applyFill="1" applyBorder="1" applyAlignment="1">
      <alignment horizontal="center" vertical="center"/>
    </xf>
    <xf numFmtId="168" fontId="17" fillId="0" borderId="37" xfId="0" applyNumberFormat="1" applyFont="1" applyBorder="1" applyAlignment="1">
      <alignment horizontal="center" vertical="center"/>
    </xf>
    <xf numFmtId="169" fontId="17" fillId="0" borderId="38" xfId="1" applyNumberFormat="1" applyFont="1" applyBorder="1" applyAlignment="1">
      <alignment horizontal="center" vertical="center"/>
    </xf>
    <xf numFmtId="168" fontId="19" fillId="0" borderId="37" xfId="1" applyNumberFormat="1" applyFont="1" applyFill="1" applyBorder="1" applyAlignment="1">
      <alignment horizontal="center" vertical="center"/>
    </xf>
    <xf numFmtId="169" fontId="19" fillId="0" borderId="38" xfId="1" applyNumberFormat="1" applyFont="1" applyFill="1" applyBorder="1" applyAlignment="1">
      <alignment horizontal="center" vertical="center"/>
    </xf>
    <xf numFmtId="0" fontId="0" fillId="0" borderId="0" xfId="4" applyNumberFormat="1" applyFont="1"/>
    <xf numFmtId="0" fontId="28" fillId="0" borderId="3" xfId="0" applyFont="1" applyBorder="1" applyAlignment="1">
      <alignment vertical="center"/>
    </xf>
    <xf numFmtId="169" fontId="17" fillId="0" borderId="0" xfId="1" applyNumberFormat="1" applyFont="1" applyBorder="1" applyAlignment="1">
      <alignment horizontal="center" vertical="center"/>
    </xf>
    <xf numFmtId="37" fontId="21" fillId="0" borderId="0" xfId="0" applyNumberFormat="1" applyFont="1" applyAlignment="1">
      <alignment horizontal="left" vertical="center"/>
    </xf>
    <xf numFmtId="169" fontId="0" fillId="0" borderId="0" xfId="0" applyNumberFormat="1"/>
    <xf numFmtId="168" fontId="17" fillId="0" borderId="37" xfId="1" applyNumberFormat="1" applyFont="1" applyFill="1" applyBorder="1" applyAlignment="1">
      <alignment horizontal="center" vertical="center"/>
    </xf>
    <xf numFmtId="169" fontId="17" fillId="0" borderId="38" xfId="1" applyNumberFormat="1" applyFont="1" applyFill="1" applyBorder="1" applyAlignment="1">
      <alignment horizontal="center" vertical="center"/>
    </xf>
    <xf numFmtId="169" fontId="18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22" fillId="0" borderId="0" xfId="5" applyAlignment="1">
      <alignment vertical="center"/>
    </xf>
    <xf numFmtId="169" fontId="22" fillId="0" borderId="0" xfId="5" applyNumberFormat="1" applyAlignment="1">
      <alignment vertical="center"/>
    </xf>
    <xf numFmtId="0" fontId="10" fillId="0" borderId="0" xfId="0" applyFont="1"/>
    <xf numFmtId="37" fontId="10" fillId="0" borderId="0" xfId="1" applyNumberFormat="1" applyFont="1" applyAlignment="1">
      <alignment horizontal="center"/>
    </xf>
    <xf numFmtId="0" fontId="27" fillId="0" borderId="0" xfId="0" applyFont="1"/>
    <xf numFmtId="37" fontId="27" fillId="0" borderId="0" xfId="1" applyNumberFormat="1" applyFont="1" applyAlignment="1">
      <alignment horizontal="center"/>
    </xf>
    <xf numFmtId="169" fontId="29" fillId="0" borderId="3" xfId="1" applyNumberFormat="1" applyFont="1" applyFill="1" applyBorder="1" applyAlignment="1">
      <alignment vertical="center"/>
    </xf>
    <xf numFmtId="43" fontId="18" fillId="0" borderId="0" xfId="0" applyNumberFormat="1" applyFont="1" applyAlignment="1">
      <alignment vertical="center"/>
    </xf>
    <xf numFmtId="9" fontId="28" fillId="0" borderId="3" xfId="4" applyFont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8" fillId="0" borderId="0" xfId="0" applyFont="1"/>
    <xf numFmtId="37" fontId="28" fillId="0" borderId="0" xfId="0" applyNumberFormat="1" applyFont="1"/>
  </cellXfs>
  <cellStyles count="6">
    <cellStyle name="Comma" xfId="1" builtinId="3"/>
    <cellStyle name="Heading 1" xfId="2" builtinId="16"/>
    <cellStyle name="Heading 2" xfId="3" builtinId="17"/>
    <cellStyle name="Heading 4" xfId="5" builtinId="19"/>
    <cellStyle name="Normal" xfId="0" builtinId="0"/>
    <cellStyle name="Percent" xfId="4" builtinId="5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70" formatCode="#,##0;\-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70" formatCode="#,##0;\-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70" formatCode="#,##0;\-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305496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4" tint="0.39997558519241921"/>
        </top>
        <bottom/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4" tint="0.39997558519241921"/>
        </right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  <numFmt numFmtId="5" formatCode="#,##0_);\(#,##0\)"/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color theme="3" tint="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4" tint="0.39997558519241921"/>
        </right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5" formatCode="#,##0_);\(#,##0\)"/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numFmt numFmtId="5" formatCode="#,##0_);\(#,##0\)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numFmt numFmtId="5" formatCode="#,##0_);\(#,##0\)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5" formatCode="#,##0_);\(#,##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0486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/>
        <top/>
        <bottom/>
      </border>
    </dxf>
    <dxf>
      <font>
        <strike val="0"/>
        <outline val="0"/>
        <shadow val="0"/>
        <u val="none"/>
        <vertAlign val="baseline"/>
        <sz val="10"/>
        <color rgb="FF104861"/>
        <name val="Calibri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0486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104861"/>
        <name val="Calibri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8" formatCode="[$-409]d\-mmm\-yy;@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4" tint="0.39994506668294322"/>
        </right>
        <vertical style="thin">
          <color theme="0" tint="-0.1499679555650502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5" formatCode="#,##0_);\(#,##0\)"/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vertical style="thin">
          <color theme="0" tint="-0.1499679555650502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alignment vertical="center" textRotation="0" indent="0" justifyLastLine="0" shrinkToFit="0" readingOrder="0"/>
      <border diagonalUp="0" diagonalDown="0">
        <right style="thin">
          <color theme="0" tint="-0.14996795556505021"/>
        </right>
        <vertical style="thin">
          <color theme="0" tint="-0.14996795556505021"/>
        </vertical>
      </border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104861"/>
        <name val="Calibri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-Arup%20Gulf%20Limited/Arup%20-%20SOA.xlsx" TargetMode="External"/><Relationship Id="rId2" Type="http://schemas.openxmlformats.org/officeDocument/2006/relationships/externalLinkPath" Target="https://muraba-my.sharepoint.com/personal/syed_ali_muraba_ae/Documents/Umair.Syed/Usman/3-Accounts%20Payable/3-Suppliers/1-Arup%20Gulf%20Limited/Arup%20-%20SOA.xlsx" TargetMode="External"/><Relationship Id="rId1" Type="http://schemas.openxmlformats.org/officeDocument/2006/relationships/externalLinkPath" Target="/personal/syed_ali_muraba_ae/Documents/Umair.Syed/Usman/3-Accounts%20Payable/3-Suppliers/1-Arup%20Gulf%20Limited/Arup%20-%20S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A"/>
      <sheetName val="Sheet2"/>
      <sheetName val="Sheet1"/>
      <sheetName val="Summary"/>
      <sheetName val="Main Contract"/>
      <sheetName val="Villa"/>
      <sheetName val="Variations"/>
      <sheetName val="14.Nov.2024"/>
      <sheetName val="13.Sep.2024"/>
      <sheetName val="09.Jul.2024"/>
      <sheetName val="08.Jul.2024"/>
      <sheetName val="31.Dec.2023"/>
      <sheetName val="Vendor List"/>
    </sheetNames>
    <sheetDataSet>
      <sheetData sheetId="0" refreshError="1"/>
      <sheetData sheetId="1" refreshError="1"/>
      <sheetData sheetId="2" refreshError="1"/>
      <sheetData sheetId="3">
        <row r="1">
          <cell r="I1">
            <v>46231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85CAC-F4F0-4FB0-B93B-2ACE3A42F09F}" name="Table13212" displayName="Table13212" ref="A4:H25" headerRowDxfId="79" dataDxfId="78" totalsRowDxfId="77">
  <autoFilter ref="A4:H25" xr:uid="{AFC2FABB-8A0C-470A-AC8F-E0003C9F2E0A}"/>
  <tableColumns count="8">
    <tableColumn id="1" xr3:uid="{5B340C2E-4504-450B-9F7E-AE9CF8D8AACC}" name="Invoice No" dataDxfId="76" totalsRowDxfId="75"/>
    <tableColumn id="2" xr3:uid="{AFD30D84-6E3C-47B5-A372-6243D993FB53}" name="Invoice Date" dataDxfId="74" totalsRowDxfId="73"/>
    <tableColumn id="3" xr3:uid="{65E0A613-9833-42E3-9C37-699588F953D3}" name="Invoice Amount" dataDxfId="72" totalsRowDxfId="71" dataCellStyle="Comma"/>
    <tableColumn id="4" xr3:uid="{11A0A2AB-F5C0-44F2-AB6D-D06A9778430D}" name="Payment Date" dataDxfId="70" totalsRowDxfId="69">
      <calculatedColumnFormula>Table13212[[#This Row],[Invoice Amount]]</calculatedColumnFormula>
    </tableColumn>
    <tableColumn id="7" xr3:uid="{F55F6BB6-F9DD-48EE-AA0C-0A87E9EED463}" name="Payment Amount" dataDxfId="68">
      <calculatedColumnFormula>Table13212[[#This Row],[Invoice Amount]]-Table13212[[#This Row],[Payment Date]]</calculatedColumnFormula>
    </tableColumn>
    <tableColumn id="9" xr3:uid="{3BE9DD25-E8C1-4541-8996-2689CB732772}" name="Balance" dataDxfId="67" dataCellStyle="Comma"/>
    <tableColumn id="5" xr3:uid="{8C7FAD12-889C-405A-951E-DCDF96B10BEF}" name="Description" dataDxfId="66" totalsRowDxfId="65"/>
    <tableColumn id="6" xr3:uid="{09AC2AC9-4C87-4D7F-8F2A-B0A1CAE16B90}" name="Remarks" dataDxfId="64" totalsRow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EC283A-F277-41EA-940D-406251671613}" name="Table210" displayName="Table210" ref="A5:H8" totalsRowShown="0" headerRowDxfId="62" dataDxfId="61">
  <autoFilter ref="A5:H8" xr:uid="{69017901-2C84-497B-B625-ECD2BE162980}"/>
  <tableColumns count="8">
    <tableColumn id="1" xr3:uid="{2B02F171-C838-417F-A77F-CC283F98CDF8}" name="Scope" dataDxfId="60"/>
    <tableColumn id="2" xr3:uid="{57BBCBA2-8E43-45D7-B5D1-79E94547FA52}" name="Contract value_x000a_Inclu VAT" dataDxfId="59"/>
    <tableColumn id="3" xr3:uid="{60BFFF6D-2126-48FC-B85A-C1BCBA2F029F}" name="Amount Invoiced" dataDxfId="58"/>
    <tableColumn id="4" xr3:uid="{A32D6DE7-913D-4D97-8631-CBE881168D85}" name="Payment" dataDxfId="57"/>
    <tableColumn id="8" xr3:uid="{C609A6E8-6844-43A4-A2B3-2AB0CAD49833}" name="Total Balance" dataDxfId="56">
      <calculatedColumnFormula>Table210[[#This Row],[Contract value
Inclu VAT]]-Table210[[#This Row],[Payment]]</calculatedColumnFormula>
    </tableColumn>
    <tableColumn id="5" xr3:uid="{90A9F0F0-AB22-4333-AF1D-56DD545980F1}" name="Due Balance" dataDxfId="55"/>
    <tableColumn id="7" xr3:uid="{D8DE9DBB-06AD-4033-8EBF-B1C177CBB25F}" name="Not Due" dataDxfId="54">
      <calculatedColumnFormula>Table210[[#This Row],[Contract value
Inclu VAT]]-Table210[[#This Row],[Amount Invoiced]]</calculatedColumnFormula>
    </tableColumn>
    <tableColumn id="6" xr3:uid="{C92B7265-BA0F-43F1-AEE6-01EB3C53FE93}" name="Paid % to Contract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A7017F-10D2-4C8F-A407-32CDDA459A1E}" name="Table311" displayName="Table311" ref="A11:D14" totalsRowShown="0" headerRowDxfId="52">
  <autoFilter ref="A11:D14" xr:uid="{D7F68EED-1972-4D05-BAB4-4C0662263ABE}"/>
  <tableColumns count="4">
    <tableColumn id="1" xr3:uid="{64D5825C-0312-4B25-8C7F-363BE0B79641}" name="Phase" dataDxfId="51"/>
    <tableColumn id="2" xr3:uid="{D40B8E91-E133-4BA3-96CB-AF399E8EF945}" name="Contract Value Exclu. VAT" dataDxfId="50" dataCellStyle="Comma"/>
    <tableColumn id="3" xr3:uid="{4252468E-3F45-42BF-BDAA-18A574201317}" name="Payment_x000a_Excluding VAT" dataDxfId="49"/>
    <tableColumn id="4" xr3:uid="{67EDB29A-6BCC-4A3A-BA78-072C73BA9137}" name="Balance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284E02-3A9E-4AA5-8895-DAE8E5009AF1}" name="Table17" displayName="Table17" ref="A5:G32" totalsRowShown="0" headerRowDxfId="47" dataDxfId="46" tableBorderDxfId="45">
  <autoFilter ref="A5:G32" xr:uid="{03C7C0DE-82A1-45CD-BB18-16F14B25D731}"/>
  <tableColumns count="7">
    <tableColumn id="1" xr3:uid="{70F3E575-3926-4611-BFC0-75EC2541ED89}" name="Particulars" dataDxfId="44"/>
    <tableColumn id="2" xr3:uid="{4502876F-497E-4BF4-BFEC-ED53B8E7D78D}" name="Contract Value_x000a_--AED--" dataDxfId="43"/>
    <tableColumn id="3" xr3:uid="{77657690-8E79-4CEB-9B7B-D2E000FBE776}" name="Vat 5%_x000a_--AED--" dataDxfId="42"/>
    <tableColumn id="4" xr3:uid="{7A3C2A42-35E5-44A9-A72D-68B1ED2226B5}" name="Total Value _x000a_--AED--" dataDxfId="41"/>
    <tableColumn id="5" xr3:uid="{891B91A3-E1DA-41AA-A4E8-1A4834DAA1B3}" name="Amount Invoiced_x000a_AED" dataDxfId="40"/>
    <tableColumn id="6" xr3:uid="{3100EBFD-711A-41B5-ABD5-7983B3DC6A67}" name="Payment_x000a_AED" dataDxfId="39"/>
    <tableColumn id="7" xr3:uid="{81C7A3BB-45C3-4C0C-8298-850AA0BB1307}" name="Balance_x000a_--AED--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C18570-C501-496C-BB67-22EEE88C1CC7}" name="Table158" displayName="Table158" ref="A5:H75" totalsRowShown="0" headerRowDxfId="37" dataDxfId="36" tableBorderDxfId="35">
  <autoFilter ref="A5:H75" xr:uid="{F2315568-351E-43FE-B4BB-18C74C5F9E0F}"/>
  <tableColumns count="8">
    <tableColumn id="1" xr3:uid="{5AF21AB0-6C1C-41E3-AB66-D31E47A078EB}" name="Particulars" dataDxfId="34"/>
    <tableColumn id="2" xr3:uid="{59FC39D6-FCBD-413C-BC8B-0C776255B6C5}" name="Contract Value_x000a_--AED--" dataDxfId="33"/>
    <tableColumn id="3" xr3:uid="{3A744C28-B808-483D-8871-14BD95C3C446}" name="Vat 5%_x000a_--AED--" dataDxfId="32"/>
    <tableColumn id="4" xr3:uid="{9FCB743D-0E04-41AB-B9EF-B05A334EE849}" name="Total Value _x000a_--AED--" dataDxfId="31"/>
    <tableColumn id="5" xr3:uid="{5437BF67-945F-4725-BDDB-993C4D8503A7}" name="Amount Invoiced" dataDxfId="30"/>
    <tableColumn id="6" xr3:uid="{0D99C427-49F4-4B89-8557-BB0D3519567B}" name="Invoiced % to Contract" dataDxfId="29"/>
    <tableColumn id="7" xr3:uid="{70284A7C-8F8E-4DA2-B550-DD360CB88336}" name="Payment" dataDxfId="28"/>
    <tableColumn id="8" xr3:uid="{5F6D9790-E7F8-49AF-8680-8289838C86EA}" name="Balance_x000a_--AED--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102213-4F4C-4665-AF7D-E85FCBFBD1A0}" name="Table4" displayName="Table4" ref="A3:B10" totalsRowShown="0" dataDxfId="26">
  <autoFilter ref="A3:B10" xr:uid="{18102213-4F4C-4665-AF7D-E85FCBFBD1A0}"/>
  <tableColumns count="2">
    <tableColumn id="1" xr3:uid="{5AADEFEB-24C8-441B-8196-1DB14E43C789}" name="Particular" dataDxfId="25"/>
    <tableColumn id="2" xr3:uid="{611D865F-2E51-437E-A30C-FA368729580D}" name="Amount" dataDxfId="24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69C7E3-0545-4F13-B7C8-A2A18037E221}" name="Table13" displayName="Table13" ref="A4:F37" totalsRowShown="0" headerRowDxfId="23" tableBorderDxfId="22">
  <autoFilter ref="A4:F37" xr:uid="{F3D0741A-1BD7-4C37-8258-7A134FC22F63}"/>
  <tableColumns count="6">
    <tableColumn id="1" xr3:uid="{79F318B3-8D66-48B8-AFF4-820A066DCD98}" name="Particulars" dataDxfId="21"/>
    <tableColumn id="2" xr3:uid="{96CB785E-C0F8-45BD-80E3-C9EA0E8D0005}" name="Contract Value_x000a_--AED--" dataDxfId="20"/>
    <tableColumn id="3" xr3:uid="{6A62A3F9-70E8-490A-99DA-685A79359F21}" name="Payment_x000a_--AED--" dataDxfId="19" dataCellStyle="Comma"/>
    <tableColumn id="4" xr3:uid="{371A5B71-6069-4944-B8EC-3E6C8F43736F}" name="Balance_x000a_--AED--" dataDxfId="18"/>
    <tableColumn id="6" xr3:uid="{A5A09AF4-F20C-4D54-A64C-C94503C0FBF6}" name="Remarks" dataDxfId="17"/>
    <tableColumn id="7" xr3:uid="{2B8A075A-7C03-49BC-BD46-48E3D900F094}" name="Notes" dataDxfId="16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741A-1BD7-4C37-8258-7A134FC22F63}" name="Table1" displayName="Table1" ref="A4:D35" totalsRowShown="0" headerRowDxfId="15" tableBorderDxfId="14">
  <autoFilter ref="A4:D35" xr:uid="{F3D0741A-1BD7-4C37-8258-7A134FC22F63}"/>
  <tableColumns count="4">
    <tableColumn id="1" xr3:uid="{77E1199C-9BEB-4A7C-90A1-E111EE209D85}" name="Particulars" dataDxfId="13"/>
    <tableColumn id="2" xr3:uid="{99C5E56D-5A73-40DB-A47F-D06AAEE20633}" name="Contract Value_x000a_--AED--" dataDxfId="12"/>
    <tableColumn id="3" xr3:uid="{3DFF196F-25B3-4CAD-A7D6-D617A90762DD}" name="Payment_x000a_--AED--" dataDxfId="11" dataCellStyle="Comma"/>
    <tableColumn id="4" xr3:uid="{7EB88A5F-5E7B-437B-8439-2E9652F896B2}" name="Balance_x000a_--AED--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196444-4392-4B61-823F-2E3CAEE1B47A}" name="Table13458151617" displayName="Table13458151617" ref="A4:D10" totalsRowCount="1" headerRowDxfId="9" dataDxfId="8">
  <autoFilter ref="A4:D9" xr:uid="{3C207694-A70D-40D7-805A-254710BDF79F}"/>
  <tableColumns count="4">
    <tableColumn id="1" xr3:uid="{705ACAC7-C1D4-49C7-A1FB-99640D0DB228}" name="Particulars" totalsRowLabel="Total" dataDxfId="7" totalsRowDxfId="6"/>
    <tableColumn id="2" xr3:uid="{FAF8B616-000F-453F-91A7-F8A5AC872879}" name="Contract Value_x000a_--AED--" totalsRowFunction="sum" dataDxfId="5" totalsRowDxfId="4"/>
    <tableColumn id="3" xr3:uid="{5351BE40-A0C6-468B-9B40-5B58248220E2}" name="Payment_x000a_--AED--" totalsRowFunction="sum" dataDxfId="3" totalsRowDxfId="2" dataCellStyle="Comma"/>
    <tableColumn id="4" xr3:uid="{55C4077E-5323-4AFE-872B-6A2CD1344D6A}" name="Balance_x000a_--AED--" totalsRowFunction="custom" dataDxfId="1" totalsRowDxfId="0">
      <calculatedColumnFormula>D4+B5-C5</calculatedColumnFormula>
      <totalsRowFormula>Table13458151617[[#Totals],[Contract Value
--AED--]]-Table13458151617[[#Totals],[Payment
--AED--]]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95E9-68CB-42E3-AA74-8E20244FBA4F}">
  <sheetPr codeName="Sheet1"/>
  <dimension ref="A1:O53"/>
  <sheetViews>
    <sheetView showGridLines="0" tabSelected="1" view="pageBreakPreview" topLeftCell="E1" zoomScaleNormal="100" zoomScaleSheetLayoutView="100" workbookViewId="0">
      <pane ySplit="4" topLeftCell="A6" activePane="bottomLeft" state="frozen"/>
      <selection pane="bottomLeft" activeCell="M24" sqref="M24"/>
    </sheetView>
  </sheetViews>
  <sheetFormatPr defaultColWidth="8.88671875" defaultRowHeight="14.4" x14ac:dyDescent="0.3"/>
  <cols>
    <col min="1" max="1" width="14.44140625" style="39" bestFit="1" customWidth="1"/>
    <col min="2" max="2" width="13.33203125" style="39" customWidth="1"/>
    <col min="3" max="3" width="17.6640625" style="39" bestFit="1" customWidth="1"/>
    <col min="4" max="4" width="13" style="39" bestFit="1" customWidth="1"/>
    <col min="5" max="5" width="13.88671875" style="39" bestFit="1" customWidth="1"/>
    <col min="6" max="6" width="12.5546875" style="39" customWidth="1"/>
    <col min="7" max="7" width="88.109375" style="39" bestFit="1" customWidth="1"/>
    <col min="8" max="8" width="11.5546875" style="39" bestFit="1" customWidth="1"/>
    <col min="9" max="9" width="8.88671875" style="39"/>
    <col min="10" max="10" width="13.5546875" style="39" bestFit="1" customWidth="1"/>
    <col min="11" max="11" width="16.109375" style="39" bestFit="1" customWidth="1"/>
    <col min="12" max="12" width="13.5546875" style="39" bestFit="1" customWidth="1"/>
    <col min="13" max="13" width="16" style="39" bestFit="1" customWidth="1"/>
    <col min="14" max="14" width="11" style="39" bestFit="1" customWidth="1"/>
    <col min="15" max="16384" width="8.88671875" style="39"/>
  </cols>
  <sheetData>
    <row r="1" spans="1:12" ht="19.8" x14ac:dyDescent="0.3">
      <c r="A1" s="45" t="s">
        <v>0</v>
      </c>
      <c r="H1" s="76">
        <f ca="1">TODAY()</f>
        <v>46261</v>
      </c>
    </row>
    <row r="2" spans="1:12" ht="17.399999999999999" x14ac:dyDescent="0.3">
      <c r="A2" s="47" t="str">
        <f ca="1">_xlfn.CONCAT("Statement of Account as of ",TEXT(H1,"MMMMMMM DD, YYYY"))</f>
        <v>Statement of Account as of August 27, 2026</v>
      </c>
    </row>
    <row r="4" spans="1:12" s="40" customFormat="1" ht="28.8" x14ac:dyDescent="0.3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26" t="s">
        <v>7</v>
      </c>
      <c r="H4" s="104" t="s">
        <v>8</v>
      </c>
    </row>
    <row r="5" spans="1:12" s="40" customFormat="1" ht="13.8" x14ac:dyDescent="0.3">
      <c r="A5" s="119" t="s">
        <v>9</v>
      </c>
      <c r="B5" s="121">
        <v>45715</v>
      </c>
      <c r="C5" s="123">
        <f>421000*1.05</f>
        <v>442050</v>
      </c>
      <c r="D5" s="121">
        <v>45715</v>
      </c>
      <c r="E5" s="120">
        <f>Table13212[[#This Row],[Invoice Amount]]</f>
        <v>442050</v>
      </c>
      <c r="F5" s="123">
        <f>Table13212[[#This Row],[Invoice Amount]]-Table13212[[#This Row],[Payment Amount]]</f>
        <v>0</v>
      </c>
      <c r="G5" s="124" t="s">
        <v>10</v>
      </c>
      <c r="H5" s="105"/>
      <c r="J5" s="56">
        <v>442050</v>
      </c>
    </row>
    <row r="6" spans="1:12" s="40" customFormat="1" ht="13.8" x14ac:dyDescent="0.3">
      <c r="A6" s="119" t="s">
        <v>11</v>
      </c>
      <c r="B6" s="122">
        <v>45746</v>
      </c>
      <c r="C6" s="123">
        <f>842000*1.05</f>
        <v>884100</v>
      </c>
      <c r="D6" s="122">
        <v>45827</v>
      </c>
      <c r="E6" s="120">
        <v>842000</v>
      </c>
      <c r="F6" s="123">
        <f>Table13212[[#This Row],[Invoice Amount]]-Table13212[[#This Row],[Payment Amount]]</f>
        <v>42100</v>
      </c>
      <c r="G6" s="124" t="s">
        <v>12</v>
      </c>
      <c r="H6" s="106"/>
      <c r="J6" s="56">
        <v>842000</v>
      </c>
    </row>
    <row r="7" spans="1:12" s="40" customFormat="1" ht="13.8" x14ac:dyDescent="0.3">
      <c r="A7" s="119" t="s">
        <v>13</v>
      </c>
      <c r="B7" s="122">
        <v>45776</v>
      </c>
      <c r="C7" s="123">
        <f>1263000*1.05</f>
        <v>1326150</v>
      </c>
      <c r="D7" s="122">
        <v>45834</v>
      </c>
      <c r="E7" s="120">
        <v>1263000</v>
      </c>
      <c r="F7" s="123">
        <f>Table13212[[#This Row],[Invoice Amount]]-Table13212[[#This Row],[Payment Amount]]</f>
        <v>63150</v>
      </c>
      <c r="G7" s="124" t="s">
        <v>14</v>
      </c>
      <c r="H7" s="105"/>
      <c r="J7" s="56">
        <v>1263000</v>
      </c>
    </row>
    <row r="8" spans="1:12" s="40" customFormat="1" ht="13.8" x14ac:dyDescent="0.3">
      <c r="A8" s="119" t="s">
        <v>15</v>
      </c>
      <c r="B8" s="122">
        <v>45838</v>
      </c>
      <c r="C8" s="123">
        <f>1684000*1.05</f>
        <v>1768200</v>
      </c>
      <c r="D8" s="122">
        <v>45839</v>
      </c>
      <c r="E8" s="120">
        <v>1684000</v>
      </c>
      <c r="F8" s="123">
        <f>Table13212[[#This Row],[Invoice Amount]]-Table13212[[#This Row],[Payment Amount]]</f>
        <v>84200</v>
      </c>
      <c r="G8" s="124" t="s">
        <v>16</v>
      </c>
      <c r="H8" s="106"/>
      <c r="J8" s="56">
        <v>1684000</v>
      </c>
      <c r="L8" s="56"/>
    </row>
    <row r="9" spans="1:12" s="40" customFormat="1" ht="13.8" x14ac:dyDescent="0.3">
      <c r="A9" s="119" t="s">
        <v>17</v>
      </c>
      <c r="B9" s="122">
        <v>45853</v>
      </c>
      <c r="C9" s="123">
        <v>17877954.675000001</v>
      </c>
      <c r="D9" s="122">
        <v>45857</v>
      </c>
      <c r="E9" s="120">
        <v>17026623.5</v>
      </c>
      <c r="F9" s="123">
        <f>Table13212[[#This Row],[Invoice Amount]]-Table13212[[#This Row],[Payment Amount]]</f>
        <v>851331.17500000075</v>
      </c>
      <c r="G9" s="124" t="s">
        <v>18</v>
      </c>
      <c r="H9" s="106"/>
      <c r="J9" s="56">
        <v>17026623.5</v>
      </c>
      <c r="K9" s="56"/>
      <c r="L9" s="56"/>
    </row>
    <row r="10" spans="1:12" s="40" customFormat="1" ht="13.8" x14ac:dyDescent="0.3">
      <c r="A10" s="119" t="s">
        <v>19</v>
      </c>
      <c r="B10" s="122">
        <v>45855</v>
      </c>
      <c r="C10" s="123">
        <v>645750</v>
      </c>
      <c r="D10" s="122">
        <v>45861</v>
      </c>
      <c r="E10" s="120">
        <v>615000</v>
      </c>
      <c r="F10" s="123">
        <f>Table13212[[#This Row],[Invoice Amount]]-Table13212[[#This Row],[Payment Amount]]</f>
        <v>30750</v>
      </c>
      <c r="G10" s="124" t="s">
        <v>20</v>
      </c>
      <c r="H10" s="106"/>
      <c r="J10" s="56">
        <v>615000</v>
      </c>
    </row>
    <row r="11" spans="1:12" s="40" customFormat="1" ht="13.8" x14ac:dyDescent="0.3">
      <c r="A11" s="119" t="s">
        <v>21</v>
      </c>
      <c r="B11" s="122">
        <v>45894</v>
      </c>
      <c r="C11" s="123">
        <v>4522468.49</v>
      </c>
      <c r="D11" s="122">
        <v>45897</v>
      </c>
      <c r="E11" s="120">
        <f>Table13212[[#This Row],[Invoice Amount]]*100/105</f>
        <v>4307112.8476190474</v>
      </c>
      <c r="F11" s="123">
        <f>Table13212[[#This Row],[Invoice Amount]]-Table13212[[#This Row],[Payment Amount]]</f>
        <v>215355.64238095284</v>
      </c>
      <c r="G11" s="124" t="s">
        <v>22</v>
      </c>
      <c r="H11" s="106"/>
      <c r="J11" s="56">
        <v>4307112.8476190474</v>
      </c>
    </row>
    <row r="12" spans="1:12" s="40" customFormat="1" ht="13.8" x14ac:dyDescent="0.3">
      <c r="A12" s="119" t="s">
        <v>23</v>
      </c>
      <c r="B12" s="122">
        <v>45947</v>
      </c>
      <c r="C12" s="123">
        <v>6416893.9299999997</v>
      </c>
      <c r="D12" s="122">
        <v>45987</v>
      </c>
      <c r="E12" s="120">
        <v>6111326.5999999996</v>
      </c>
      <c r="F12" s="123">
        <f>Table13212[[#This Row],[Invoice Amount]]-Table13212[[#This Row],[Payment Amount]]</f>
        <v>305567.33000000007</v>
      </c>
      <c r="G12" s="124" t="s">
        <v>24</v>
      </c>
      <c r="H12" s="106"/>
      <c r="J12" s="56">
        <v>6111326.5999999996</v>
      </c>
    </row>
    <row r="13" spans="1:12" s="40" customFormat="1" x14ac:dyDescent="0.3">
      <c r="A13" s="119" t="s">
        <v>25</v>
      </c>
      <c r="B13" s="122">
        <v>45964</v>
      </c>
      <c r="C13" s="123">
        <v>10452758.189999999</v>
      </c>
      <c r="D13" s="122">
        <v>45987</v>
      </c>
      <c r="E13" s="120">
        <v>9955007.8000000007</v>
      </c>
      <c r="F13" s="123">
        <f>Table13212[[#This Row],[Invoice Amount]]-Table13212[[#This Row],[Payment Amount]]</f>
        <v>497750.38999999873</v>
      </c>
      <c r="G13" s="124" t="s">
        <v>26</v>
      </c>
      <c r="H13" s="106"/>
      <c r="I13" s="39"/>
      <c r="J13" s="56">
        <v>9955007.8000000007</v>
      </c>
    </row>
    <row r="14" spans="1:12" s="40" customFormat="1" x14ac:dyDescent="0.3">
      <c r="A14" s="119" t="s">
        <v>175</v>
      </c>
      <c r="B14" s="122">
        <v>45981</v>
      </c>
      <c r="C14" s="195">
        <v>8372268.5</v>
      </c>
      <c r="D14" s="122">
        <v>46010</v>
      </c>
      <c r="E14" s="120">
        <f>7973589.05</f>
        <v>7973589.0499999998</v>
      </c>
      <c r="F14" s="123">
        <f>Table13212[[#This Row],[Invoice Amount]]-Table13212[[#This Row],[Payment Amount]]</f>
        <v>398679.45000000019</v>
      </c>
      <c r="G14" s="124" t="s">
        <v>176</v>
      </c>
      <c r="H14" s="196"/>
      <c r="I14" s="39"/>
      <c r="J14" s="56">
        <v>7973589.0499999998</v>
      </c>
    </row>
    <row r="15" spans="1:12" s="40" customFormat="1" x14ac:dyDescent="0.3">
      <c r="A15" s="119" t="s">
        <v>182</v>
      </c>
      <c r="B15" s="122">
        <v>46008</v>
      </c>
      <c r="C15" s="195">
        <v>2924079.9</v>
      </c>
      <c r="D15" s="122">
        <v>46037</v>
      </c>
      <c r="E15" s="120">
        <v>2784838</v>
      </c>
      <c r="F15" s="123">
        <f>Table13212[[#This Row],[Invoice Amount]]-Table13212[[#This Row],[Payment Amount]]</f>
        <v>139241.89999999991</v>
      </c>
      <c r="G15" s="124" t="s">
        <v>181</v>
      </c>
      <c r="H15" s="196"/>
      <c r="I15" s="39"/>
      <c r="J15" s="56">
        <v>2784838</v>
      </c>
    </row>
    <row r="16" spans="1:12" s="40" customFormat="1" x14ac:dyDescent="0.3">
      <c r="A16" s="119" t="s">
        <v>185</v>
      </c>
      <c r="B16" s="122">
        <v>46037</v>
      </c>
      <c r="C16" s="195">
        <v>2210672.5520000001</v>
      </c>
      <c r="D16" s="122">
        <v>46057</v>
      </c>
      <c r="E16" s="120">
        <v>2105402.4</v>
      </c>
      <c r="F16" s="123">
        <f>Table13212[[#This Row],[Invoice Amount]]-Table13212[[#This Row],[Payment Amount]]</f>
        <v>105270.15200000023</v>
      </c>
      <c r="G16" s="124" t="s">
        <v>186</v>
      </c>
      <c r="H16" s="196"/>
      <c r="I16" s="39"/>
      <c r="J16" s="56">
        <v>2105402.4</v>
      </c>
    </row>
    <row r="17" spans="1:14" s="40" customFormat="1" x14ac:dyDescent="0.3">
      <c r="A17" s="119" t="s">
        <v>189</v>
      </c>
      <c r="B17" s="122">
        <v>46069</v>
      </c>
      <c r="C17" s="195">
        <v>6304870.79</v>
      </c>
      <c r="D17" s="122">
        <v>46091</v>
      </c>
      <c r="E17" s="120">
        <v>6004638.8499999996</v>
      </c>
      <c r="F17" s="123">
        <f>Table13212[[#This Row],[Invoice Amount]]-Table13212[[#This Row],[Payment Amount]]</f>
        <v>300231.94000000041</v>
      </c>
      <c r="G17" s="124" t="s">
        <v>190</v>
      </c>
      <c r="H17" s="196"/>
      <c r="I17" s="39"/>
      <c r="J17" s="56">
        <v>6004638.8499999996</v>
      </c>
    </row>
    <row r="18" spans="1:14" s="40" customFormat="1" x14ac:dyDescent="0.3">
      <c r="A18" s="119" t="s">
        <v>203</v>
      </c>
      <c r="B18" s="122">
        <v>46107</v>
      </c>
      <c r="C18" s="195">
        <v>10367006.42</v>
      </c>
      <c r="D18" s="122">
        <v>46122</v>
      </c>
      <c r="E18" s="120">
        <v>9873339.4499999993</v>
      </c>
      <c r="F18" s="123">
        <f>Table13212[[#This Row],[Invoice Amount]]-Table13212[[#This Row],[Payment Amount]]</f>
        <v>493666.97000000067</v>
      </c>
      <c r="G18" s="124" t="s">
        <v>204</v>
      </c>
      <c r="H18" s="196"/>
      <c r="I18" s="39"/>
      <c r="J18" s="56">
        <v>9873339.4499999993</v>
      </c>
    </row>
    <row r="19" spans="1:14" s="40" customFormat="1" x14ac:dyDescent="0.3">
      <c r="A19" s="119" t="s">
        <v>206</v>
      </c>
      <c r="B19" s="122">
        <v>46139</v>
      </c>
      <c r="C19" s="195">
        <v>4210319.28</v>
      </c>
      <c r="D19" s="122">
        <v>46146</v>
      </c>
      <c r="E19" s="120">
        <v>4009827.8857142902</v>
      </c>
      <c r="F19" s="123">
        <f>Table13212[[#This Row],[Invoice Amount]]-Table13212[[#This Row],[Payment Amount]]</f>
        <v>200491.39428571006</v>
      </c>
      <c r="G19" s="124" t="s">
        <v>207</v>
      </c>
      <c r="H19" s="196"/>
      <c r="I19" s="39"/>
      <c r="J19" s="56">
        <v>4009827.8857142902</v>
      </c>
    </row>
    <row r="20" spans="1:14" s="40" customFormat="1" x14ac:dyDescent="0.3">
      <c r="A20" s="119" t="s">
        <v>212</v>
      </c>
      <c r="B20" s="122">
        <v>46175</v>
      </c>
      <c r="C20" s="195">
        <v>8441929.1699999999</v>
      </c>
      <c r="D20" s="122">
        <v>46191</v>
      </c>
      <c r="E20" s="120">
        <v>8039932.54</v>
      </c>
      <c r="F20" s="123">
        <f>Table13212[[#This Row],[Invoice Amount]]-Table13212[[#This Row],[Payment Amount]]</f>
        <v>401996.62999999989</v>
      </c>
      <c r="G20" s="124" t="s">
        <v>210</v>
      </c>
      <c r="H20" s="196"/>
      <c r="I20" s="39"/>
      <c r="J20" s="56">
        <v>8039932.54</v>
      </c>
    </row>
    <row r="21" spans="1:14" s="40" customFormat="1" x14ac:dyDescent="0.3">
      <c r="A21" s="119" t="s">
        <v>214</v>
      </c>
      <c r="B21" s="122">
        <v>46197</v>
      </c>
      <c r="C21" s="195">
        <v>15987204.02</v>
      </c>
      <c r="D21" s="122">
        <v>46230</v>
      </c>
      <c r="E21" s="120">
        <f>3996801.01</f>
        <v>3996801.01</v>
      </c>
      <c r="F21" s="123">
        <f>Table13212[[#This Row],[Invoice Amount]]-Table13212[[#This Row],[Payment Amount]]</f>
        <v>11990403.01</v>
      </c>
      <c r="G21" s="124" t="s">
        <v>215</v>
      </c>
      <c r="H21" s="196"/>
      <c r="I21" s="39"/>
      <c r="J21" s="56">
        <v>3996801.01</v>
      </c>
      <c r="K21" s="200"/>
      <c r="L21" s="209"/>
      <c r="M21" s="209"/>
      <c r="N21" s="209"/>
    </row>
    <row r="22" spans="1:14" s="40" customFormat="1" ht="13.8" x14ac:dyDescent="0.3">
      <c r="A22" s="119"/>
      <c r="B22" s="122"/>
      <c r="C22" s="195"/>
      <c r="D22" s="122">
        <v>46234</v>
      </c>
      <c r="E22" s="120">
        <v>11419431.439999999</v>
      </c>
      <c r="F22" s="123">
        <f>F21+Table13212[[#This Row],[Invoice Amount]]-Table13212[[#This Row],[Payment Amount]]</f>
        <v>570971.5700000003</v>
      </c>
      <c r="G22" s="124"/>
      <c r="H22" s="196"/>
      <c r="J22" s="56">
        <v>11419431.439999999</v>
      </c>
      <c r="L22" s="209"/>
      <c r="M22" s="209"/>
      <c r="N22" s="209"/>
    </row>
    <row r="23" spans="1:14" s="40" customFormat="1" ht="13.8" x14ac:dyDescent="0.3">
      <c r="A23" s="119" t="s">
        <v>217</v>
      </c>
      <c r="B23" s="122">
        <v>46227</v>
      </c>
      <c r="C23" s="195">
        <v>12236445.85</v>
      </c>
      <c r="D23" s="122">
        <v>46247</v>
      </c>
      <c r="E23" s="120">
        <v>11653757.952381</v>
      </c>
      <c r="F23" s="123">
        <f>Table13212[[#This Row],[Invoice Amount]]-Table13212[[#This Row],[Payment Amount]]</f>
        <v>582687.8976189997</v>
      </c>
      <c r="G23" s="124" t="s">
        <v>218</v>
      </c>
      <c r="H23" s="196"/>
      <c r="J23" s="56">
        <f>Table13212[[#This Row],[Invoice Amount]]*100/105</f>
        <v>11653757.952380951</v>
      </c>
      <c r="L23" s="209"/>
      <c r="M23" s="209"/>
      <c r="N23" s="209"/>
    </row>
    <row r="24" spans="1:14" s="40" customFormat="1" thickBot="1" x14ac:dyDescent="0.35">
      <c r="A24" s="119" t="s">
        <v>223</v>
      </c>
      <c r="B24" s="122">
        <v>46254</v>
      </c>
      <c r="C24" s="195">
        <v>10801173.039999999</v>
      </c>
      <c r="D24" s="122"/>
      <c r="E24" s="120"/>
      <c r="F24" s="123">
        <f>Table13212[[#This Row],[Invoice Amount]]-Table13212[[#This Row],[Payment Amount]]</f>
        <v>10801173.039999999</v>
      </c>
      <c r="G24" s="124" t="s">
        <v>224</v>
      </c>
      <c r="H24" s="196"/>
      <c r="J24" s="56"/>
      <c r="L24" s="209">
        <f>Table13212[[#This Row],[Balance]]*100/105</f>
        <v>10286831.466666667</v>
      </c>
      <c r="M24" s="209">
        <f>L24*25%</f>
        <v>2571707.8666666667</v>
      </c>
      <c r="N24" s="209"/>
    </row>
    <row r="25" spans="1:14" s="107" customFormat="1" thickTop="1" x14ac:dyDescent="0.3">
      <c r="A25" s="109" t="s">
        <v>27</v>
      </c>
      <c r="B25" s="110"/>
      <c r="C25" s="111">
        <f>SUBTOTAL(109,C5:C24)</f>
        <v>126192294.80699998</v>
      </c>
      <c r="D25" s="111"/>
      <c r="E25" s="112">
        <f>SUBTOTAL(109,E5:E24)</f>
        <v>110107679.32571435</v>
      </c>
      <c r="F25" s="112">
        <f>Table13212[[#This Row],[Invoice Amount]]-Table13212[[#This Row],[Payment Amount]]</f>
        <v>16084615.481285632</v>
      </c>
      <c r="G25" s="112"/>
      <c r="H25" s="113" t="s">
        <v>28</v>
      </c>
    </row>
    <row r="26" spans="1:14" s="107" customFormat="1" x14ac:dyDescent="0.3">
      <c r="A26" s="114" t="s">
        <v>29</v>
      </c>
      <c r="B26" s="115"/>
      <c r="C26" s="115">
        <f>E25/C25</f>
        <v>0.87253884632270429</v>
      </c>
      <c r="D26" s="116"/>
      <c r="E26" s="39"/>
      <c r="F26" s="39"/>
      <c r="G26" s="39"/>
      <c r="H26" s="39"/>
    </row>
    <row r="27" spans="1:14" s="107" customFormat="1" x14ac:dyDescent="0.3">
      <c r="A27" s="39"/>
      <c r="B27" s="39"/>
      <c r="C27" s="39"/>
      <c r="D27" s="39"/>
      <c r="E27" s="39"/>
      <c r="F27" s="203">
        <f>SUM(F5:F20)</f>
        <v>4129782.9736666637</v>
      </c>
      <c r="G27" s="186" t="s">
        <v>192</v>
      </c>
      <c r="H27" s="108"/>
    </row>
    <row r="28" spans="1:14" x14ac:dyDescent="0.3">
      <c r="E28" s="103"/>
      <c r="F28" s="203">
        <f>F27-C5</f>
        <v>3687732.9736666637</v>
      </c>
      <c r="G28" s="186" t="s">
        <v>193</v>
      </c>
      <c r="H28" s="108"/>
    </row>
    <row r="29" spans="1:14" x14ac:dyDescent="0.3">
      <c r="A29" s="186" t="s">
        <v>30</v>
      </c>
      <c r="E29" s="85"/>
      <c r="F29" s="85"/>
      <c r="G29" s="108"/>
      <c r="H29" s="108"/>
      <c r="N29" s="39">
        <v>1280682.77</v>
      </c>
    </row>
    <row r="30" spans="1:14" x14ac:dyDescent="0.3">
      <c r="A30" s="12" t="s">
        <v>31</v>
      </c>
      <c r="B30" s="12" t="s">
        <v>32</v>
      </c>
      <c r="D30" s="117"/>
      <c r="E30" s="117"/>
      <c r="F30" s="117"/>
      <c r="G30" s="108"/>
      <c r="H30" s="108"/>
      <c r="N30" s="39">
        <v>1282261</v>
      </c>
    </row>
    <row r="31" spans="1:14" x14ac:dyDescent="0.3">
      <c r="A31" s="187">
        <v>45715</v>
      </c>
      <c r="B31" s="188">
        <v>442050</v>
      </c>
      <c r="D31" s="201"/>
      <c r="E31" s="117"/>
      <c r="F31" s="86">
        <f>C23*5/105</f>
        <v>582687.89761904767</v>
      </c>
      <c r="G31" s="108"/>
      <c r="H31" s="108"/>
    </row>
    <row r="32" spans="1:14" x14ac:dyDescent="0.3">
      <c r="A32" s="189">
        <v>45827</v>
      </c>
      <c r="B32" s="190">
        <v>842000</v>
      </c>
      <c r="D32" s="201"/>
      <c r="E32" s="117"/>
      <c r="F32" s="86">
        <f>SUM(F22,F5:F20)</f>
        <v>4700754.5436666636</v>
      </c>
      <c r="G32" s="108"/>
      <c r="H32" s="108"/>
      <c r="N32" s="39">
        <f>N29-N30</f>
        <v>-1578.2299999999814</v>
      </c>
    </row>
    <row r="33" spans="1:15" x14ac:dyDescent="0.3">
      <c r="A33" s="187">
        <v>45834</v>
      </c>
      <c r="B33" s="188">
        <v>1263000</v>
      </c>
      <c r="E33" s="117"/>
      <c r="F33" s="86">
        <f>F32+F31</f>
        <v>5283442.4412857108</v>
      </c>
      <c r="G33" s="108"/>
      <c r="H33" s="108"/>
      <c r="J33" s="39">
        <v>98453921.37333335</v>
      </c>
      <c r="O33" s="39">
        <v>3.6456</v>
      </c>
    </row>
    <row r="34" spans="1:15" x14ac:dyDescent="0.3">
      <c r="A34" s="189">
        <v>45839</v>
      </c>
      <c r="B34" s="190">
        <v>1684000</v>
      </c>
      <c r="E34" s="117"/>
      <c r="G34" s="108"/>
      <c r="H34" s="108"/>
    </row>
    <row r="35" spans="1:15" x14ac:dyDescent="0.3">
      <c r="A35" s="187">
        <v>45857</v>
      </c>
      <c r="B35" s="188">
        <v>17026623.5</v>
      </c>
      <c r="E35" s="103">
        <f>C23*100/105</f>
        <v>11653757.952380951</v>
      </c>
      <c r="G35" s="108"/>
      <c r="H35" s="108"/>
    </row>
    <row r="36" spans="1:15" x14ac:dyDescent="0.3">
      <c r="A36" s="189">
        <v>45861</v>
      </c>
      <c r="B36" s="190">
        <v>615000</v>
      </c>
      <c r="E36" s="103">
        <f>E35*25%</f>
        <v>2913439.4880952379</v>
      </c>
      <c r="G36" s="108"/>
      <c r="H36" s="108"/>
    </row>
    <row r="37" spans="1:15" x14ac:dyDescent="0.3">
      <c r="A37" s="187">
        <v>45897</v>
      </c>
      <c r="B37" s="188">
        <v>4307112.8476190474</v>
      </c>
      <c r="G37" s="108"/>
      <c r="H37" s="108"/>
    </row>
    <row r="38" spans="1:15" x14ac:dyDescent="0.3">
      <c r="A38" s="189">
        <v>45987</v>
      </c>
      <c r="B38" s="190">
        <f>E12</f>
        <v>6111326.5999999996</v>
      </c>
      <c r="G38" s="108"/>
      <c r="H38" s="108"/>
    </row>
    <row r="39" spans="1:15" x14ac:dyDescent="0.3">
      <c r="A39" s="187">
        <v>45987</v>
      </c>
      <c r="B39" s="188">
        <v>9955007.8000000007</v>
      </c>
      <c r="G39" s="108"/>
      <c r="H39" s="108"/>
    </row>
    <row r="40" spans="1:15" x14ac:dyDescent="0.3">
      <c r="A40" s="198">
        <v>46010</v>
      </c>
      <c r="B40" s="199">
        <v>7973589.0499999998</v>
      </c>
      <c r="G40" s="108"/>
      <c r="H40" s="108"/>
    </row>
    <row r="41" spans="1:15" x14ac:dyDescent="0.3">
      <c r="A41" s="187">
        <v>46037</v>
      </c>
      <c r="B41" s="188">
        <v>2784838</v>
      </c>
      <c r="G41" s="108"/>
      <c r="H41" s="108"/>
    </row>
    <row r="42" spans="1:15" x14ac:dyDescent="0.3">
      <c r="A42" s="198">
        <v>46057</v>
      </c>
      <c r="B42" s="199">
        <v>2105402.4</v>
      </c>
      <c r="G42" s="108"/>
      <c r="H42" s="108"/>
    </row>
    <row r="43" spans="1:15" x14ac:dyDescent="0.3">
      <c r="A43" s="187">
        <v>46091</v>
      </c>
      <c r="B43" s="188">
        <v>6004638.8499999996</v>
      </c>
      <c r="G43" s="108"/>
      <c r="H43" s="108"/>
    </row>
    <row r="44" spans="1:15" x14ac:dyDescent="0.3">
      <c r="A44" s="198">
        <v>46122</v>
      </c>
      <c r="B44" s="199">
        <v>9873339.4499999993</v>
      </c>
      <c r="G44" s="108"/>
      <c r="H44" s="108"/>
    </row>
    <row r="45" spans="1:15" x14ac:dyDescent="0.3">
      <c r="A45" s="187">
        <v>46146</v>
      </c>
      <c r="B45" s="188">
        <v>4009827.8857142855</v>
      </c>
      <c r="G45" s="108"/>
      <c r="H45" s="108"/>
    </row>
    <row r="46" spans="1:15" x14ac:dyDescent="0.3">
      <c r="A46" s="198">
        <v>46191</v>
      </c>
      <c r="B46" s="199">
        <v>8039932.54</v>
      </c>
      <c r="G46" s="108"/>
      <c r="H46" s="108"/>
    </row>
    <row r="47" spans="1:15" x14ac:dyDescent="0.3">
      <c r="A47" s="187">
        <v>46230</v>
      </c>
      <c r="B47" s="188">
        <f>3996801.01</f>
        <v>3996801.01</v>
      </c>
      <c r="G47" s="108"/>
      <c r="H47" s="108"/>
    </row>
    <row r="48" spans="1:15" x14ac:dyDescent="0.3">
      <c r="A48" s="198">
        <v>46234</v>
      </c>
      <c r="B48" s="199">
        <v>11419431.439999999</v>
      </c>
      <c r="G48" s="108"/>
      <c r="H48" s="108"/>
    </row>
    <row r="49" spans="1:8" x14ac:dyDescent="0.3">
      <c r="A49" s="187">
        <v>46247</v>
      </c>
      <c r="B49" s="188">
        <v>11653757.952380951</v>
      </c>
      <c r="G49" s="108"/>
      <c r="H49" s="108"/>
    </row>
    <row r="50" spans="1:8" x14ac:dyDescent="0.3">
      <c r="A50" s="191" t="s">
        <v>27</v>
      </c>
      <c r="B50" s="192">
        <f>SUM(B31:B49)</f>
        <v>110107679.32571431</v>
      </c>
      <c r="G50" s="108"/>
      <c r="H50" s="108"/>
    </row>
    <row r="51" spans="1:8" x14ac:dyDescent="0.3">
      <c r="G51" s="108"/>
      <c r="H51" s="108"/>
    </row>
    <row r="52" spans="1:8" x14ac:dyDescent="0.3">
      <c r="A52" s="202"/>
      <c r="B52" s="203"/>
      <c r="G52" s="108"/>
    </row>
    <row r="53" spans="1:8" x14ac:dyDescent="0.3">
      <c r="G53" s="108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  <ignoredErrors>
    <ignoredError sqref="D5:E16 D17:E18 D19:E19 D20:E20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B69B-3749-4697-B013-FD0D837E3CE3}">
  <sheetPr codeName="Sheet2">
    <pageSetUpPr fitToPage="1"/>
  </sheetPr>
  <dimension ref="A1:L16"/>
  <sheetViews>
    <sheetView showGridLines="0" zoomScaleNormal="100" zoomScaleSheetLayoutView="100" workbookViewId="0">
      <pane ySplit="3" topLeftCell="A4" activePane="bottomLeft" state="frozen"/>
      <selection activeCell="F50" sqref="F50"/>
      <selection pane="bottomLeft" activeCell="F10" sqref="F10:L16"/>
    </sheetView>
  </sheetViews>
  <sheetFormatPr defaultColWidth="8.88671875" defaultRowHeight="14.4" x14ac:dyDescent="0.3"/>
  <cols>
    <col min="1" max="1" width="17.88671875" style="39" bestFit="1" customWidth="1"/>
    <col min="2" max="2" width="13.5546875" style="39" bestFit="1" customWidth="1"/>
    <col min="3" max="3" width="13.5546875" style="39" customWidth="1"/>
    <col min="4" max="4" width="13" style="39" bestFit="1" customWidth="1"/>
    <col min="5" max="5" width="11.6640625" style="39" bestFit="1" customWidth="1"/>
    <col min="6" max="6" width="12.33203125" style="39" bestFit="1" customWidth="1"/>
    <col min="7" max="7" width="11.6640625" style="39" bestFit="1" customWidth="1"/>
    <col min="8" max="8" width="14.6640625" style="39" bestFit="1" customWidth="1"/>
    <col min="9" max="10" width="12.5546875" style="39" bestFit="1" customWidth="1"/>
    <col min="11" max="11" width="17.109375" style="39" bestFit="1" customWidth="1"/>
    <col min="12" max="12" width="15.21875" style="39" bestFit="1" customWidth="1"/>
    <col min="13" max="16384" width="8.88671875" style="39"/>
  </cols>
  <sheetData>
    <row r="1" spans="1:12" ht="19.95" customHeight="1" x14ac:dyDescent="0.3">
      <c r="A1" s="127" t="s">
        <v>33</v>
      </c>
      <c r="B1" s="45"/>
      <c r="C1" s="45"/>
      <c r="H1" s="76">
        <f ca="1">TODAY()</f>
        <v>46261</v>
      </c>
    </row>
    <row r="2" spans="1:12" ht="19.95" customHeight="1" x14ac:dyDescent="0.3">
      <c r="A2" s="128" t="str">
        <f ca="1">_xlfn.CONCAT("Statement of Account as of ",TEXT(H1,"MMMMMMM DD, YYYY"))</f>
        <v>Statement of Account as of August 27, 2026</v>
      </c>
      <c r="B2" s="47"/>
      <c r="C2" s="47"/>
    </row>
    <row r="3" spans="1:12" ht="19.95" customHeight="1" x14ac:dyDescent="0.3"/>
    <row r="5" spans="1:12" ht="28.8" x14ac:dyDescent="0.3">
      <c r="A5" s="129" t="s">
        <v>34</v>
      </c>
      <c r="B5" s="130" t="s">
        <v>35</v>
      </c>
      <c r="C5" s="130" t="s">
        <v>36</v>
      </c>
      <c r="D5" s="129" t="s">
        <v>37</v>
      </c>
      <c r="E5" s="130" t="s">
        <v>38</v>
      </c>
      <c r="F5" s="130" t="s">
        <v>39</v>
      </c>
      <c r="G5" s="129" t="s">
        <v>40</v>
      </c>
      <c r="H5" s="130" t="s">
        <v>41</v>
      </c>
    </row>
    <row r="6" spans="1:12" x14ac:dyDescent="0.3">
      <c r="A6" s="131" t="s">
        <v>42</v>
      </c>
      <c r="B6" s="132">
        <f>B14*1.05</f>
        <v>178779546.75</v>
      </c>
      <c r="C6" s="133">
        <f>'Main Contract'!E32</f>
        <v>125546544.77499998</v>
      </c>
      <c r="D6" s="133">
        <f>'Main Contract'!F32</f>
        <v>109492679.9257143</v>
      </c>
      <c r="E6" s="133">
        <f>Table210[[#This Row],[Contract value
Inclu VAT]]-Table210[[#This Row],[Payment]]</f>
        <v>69286866.824285701</v>
      </c>
      <c r="F6" s="133">
        <f>Table210[[#This Row],[Amount Invoiced]]-Table210[[#This Row],[Payment]]</f>
        <v>16053864.849285677</v>
      </c>
      <c r="G6" s="133">
        <f>Table210[[#This Row],[Contract value
Inclu VAT]]-Table210[[#This Row],[Amount Invoiced]]</f>
        <v>53233001.975000024</v>
      </c>
      <c r="H6" s="134">
        <f>Table210[[#This Row],[Payment]]/Table210[[#This Row],[Contract value
Inclu VAT]]</f>
        <v>0.612445226068425</v>
      </c>
      <c r="J6" s="85"/>
    </row>
    <row r="7" spans="1:12" x14ac:dyDescent="0.3">
      <c r="A7" s="135" t="s">
        <v>43</v>
      </c>
      <c r="B7" s="136">
        <f>Variations!D75</f>
        <v>645750</v>
      </c>
      <c r="C7" s="136">
        <f>Variations!E75</f>
        <v>645750</v>
      </c>
      <c r="D7" s="136">
        <f>Variations!G75</f>
        <v>615000</v>
      </c>
      <c r="E7" s="136">
        <f>Table210[[#This Row],[Contract value
Inclu VAT]]-Table210[[#This Row],[Payment]]</f>
        <v>30750</v>
      </c>
      <c r="F7" s="136">
        <f>Table210[[#This Row],[Amount Invoiced]]-Table210[[#This Row],[Payment]]</f>
        <v>30750</v>
      </c>
      <c r="G7" s="136">
        <f>Table210[[#This Row],[Contract value
Inclu VAT]]-Table210[[#This Row],[Amount Invoiced]]</f>
        <v>0</v>
      </c>
      <c r="H7" s="137">
        <f>Table210[[#This Row],[Payment]]/Table210[[#This Row],[Contract value
Inclu VAT]]</f>
        <v>0.95238095238095233</v>
      </c>
      <c r="J7" s="85"/>
    </row>
    <row r="8" spans="1:12" x14ac:dyDescent="0.3">
      <c r="A8" s="138" t="s">
        <v>44</v>
      </c>
      <c r="B8" s="139">
        <f>SUBTOTAL(109,B6:B7)</f>
        <v>179425296.75</v>
      </c>
      <c r="C8" s="139">
        <f>SUBTOTAL(109,C6:C7)</f>
        <v>126192294.77499998</v>
      </c>
      <c r="D8" s="139">
        <f>SUBTOTAL(109,D6:D7)</f>
        <v>110107679.9257143</v>
      </c>
      <c r="E8" s="139">
        <f>Table210[[#This Row],[Contract value
Inclu VAT]]-Table210[[#This Row],[Payment]]</f>
        <v>69317616.824285701</v>
      </c>
      <c r="F8" s="139">
        <f>SUBTOTAL(109,F6:F7)</f>
        <v>16084614.849285677</v>
      </c>
      <c r="G8" s="139">
        <f>Table210[[#This Row],[Contract value
Inclu VAT]]-Table210[[#This Row],[Amount Invoiced]]</f>
        <v>53233001.975000024</v>
      </c>
      <c r="H8" s="139"/>
      <c r="J8" s="85"/>
    </row>
    <row r="9" spans="1:12" x14ac:dyDescent="0.3">
      <c r="H9" s="85"/>
      <c r="J9" s="103"/>
      <c r="K9" s="86"/>
    </row>
    <row r="10" spans="1:12" ht="17.399999999999999" x14ac:dyDescent="0.35">
      <c r="A10" s="140" t="s">
        <v>45</v>
      </c>
      <c r="B10"/>
      <c r="C10"/>
      <c r="D10"/>
      <c r="F10" s="85">
        <f>B8-D8</f>
        <v>69317616.824285701</v>
      </c>
      <c r="H10" s="85">
        <f>B8+72000000</f>
        <v>251425296.75</v>
      </c>
      <c r="K10" s="39" t="s">
        <v>196</v>
      </c>
      <c r="L10" s="85">
        <f>B8</f>
        <v>179425296.75</v>
      </c>
    </row>
    <row r="11" spans="1:12" ht="43.2" x14ac:dyDescent="0.3">
      <c r="A11" s="129" t="s">
        <v>46</v>
      </c>
      <c r="B11" s="130" t="s">
        <v>47</v>
      </c>
      <c r="C11" s="130" t="s">
        <v>48</v>
      </c>
      <c r="D11" s="129" t="s">
        <v>6</v>
      </c>
      <c r="F11" s="85">
        <f>F10+72000000</f>
        <v>141317616.82428569</v>
      </c>
      <c r="H11" s="103">
        <v>115000000</v>
      </c>
      <c r="K11" s="39" t="s">
        <v>195</v>
      </c>
      <c r="L11" s="103">
        <v>71000000</v>
      </c>
    </row>
    <row r="12" spans="1:12" x14ac:dyDescent="0.3">
      <c r="A12" s="131" t="s">
        <v>49</v>
      </c>
      <c r="B12" s="132">
        <f>4210000</f>
        <v>4210000</v>
      </c>
      <c r="C12" s="133">
        <f>Table311[[#This Row],[Contract Value Exclu. VAT]]</f>
        <v>4210000</v>
      </c>
      <c r="D12" s="133">
        <f>B12-C12</f>
        <v>0</v>
      </c>
      <c r="H12" s="103">
        <v>53000000</v>
      </c>
      <c r="K12" s="39" t="s">
        <v>44</v>
      </c>
      <c r="L12" s="85">
        <f>SUM(L10:L11)</f>
        <v>250425296.75</v>
      </c>
    </row>
    <row r="13" spans="1:12" x14ac:dyDescent="0.3">
      <c r="A13" s="135" t="s">
        <v>50</v>
      </c>
      <c r="B13" s="141">
        <f>166056235</f>
        <v>166056235</v>
      </c>
      <c r="C13" s="136">
        <f>SUM('Main Contract'!F11:F30)</f>
        <v>105261629.9257143</v>
      </c>
      <c r="D13" s="136">
        <f t="shared" ref="D13" si="0">B13-C13</f>
        <v>60794605.074285701</v>
      </c>
      <c r="H13" s="86">
        <f>D8</f>
        <v>110107679.9257143</v>
      </c>
      <c r="K13" s="39" t="s">
        <v>197</v>
      </c>
      <c r="L13" s="85">
        <f>-D8</f>
        <v>-110107679.9257143</v>
      </c>
    </row>
    <row r="14" spans="1:12" x14ac:dyDescent="0.3">
      <c r="A14" s="138" t="s">
        <v>44</v>
      </c>
      <c r="B14" s="142">
        <f>SUBTOTAL(109,B12:B13)</f>
        <v>170266235</v>
      </c>
      <c r="C14" s="139">
        <f>SUBTOTAL(109,C12:C13)</f>
        <v>109471629.9257143</v>
      </c>
      <c r="D14" s="139">
        <f>SUBTOTAL(109,D12:D13)</f>
        <v>60794605.074285701</v>
      </c>
      <c r="H14" s="86">
        <f>H10-H11-H12-H13</f>
        <v>-26682383.175714299</v>
      </c>
      <c r="K14" s="39" t="s">
        <v>198</v>
      </c>
      <c r="L14" s="103">
        <f>-(105569316+7932157)</f>
        <v>-113501473</v>
      </c>
    </row>
    <row r="15" spans="1:12" x14ac:dyDescent="0.3">
      <c r="K15" s="39" t="s">
        <v>199</v>
      </c>
      <c r="L15" s="103">
        <v>-53137784.719999999</v>
      </c>
    </row>
    <row r="16" spans="1:12" x14ac:dyDescent="0.3">
      <c r="K16" s="39" t="s">
        <v>200</v>
      </c>
      <c r="L16" s="85">
        <f>SUM(L12:L15)</f>
        <v>-26321640.895714313</v>
      </c>
    </row>
  </sheetData>
  <pageMargins left="0.7" right="0.7" top="0.75" bottom="0.75" header="0.3" footer="0.3"/>
  <pageSetup scale="83" orientation="portrait" verticalDpi="30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1ECA-DAAE-4716-98A5-60E11525BA7F}">
  <sheetPr codeName="Sheet3"/>
  <dimension ref="A1:M39"/>
  <sheetViews>
    <sheetView topLeftCell="A4" workbookViewId="0">
      <selection activeCell="G28" sqref="G28"/>
    </sheetView>
  </sheetViews>
  <sheetFormatPr defaultRowHeight="14.4" x14ac:dyDescent="0.3"/>
  <cols>
    <col min="1" max="1" width="59.88671875" bestFit="1" customWidth="1"/>
    <col min="2" max="2" width="12.109375" bestFit="1" customWidth="1"/>
    <col min="3" max="3" width="10.88671875" bestFit="1" customWidth="1"/>
    <col min="4" max="4" width="14.6640625" bestFit="1" customWidth="1"/>
    <col min="5" max="6" width="13.6640625" bestFit="1" customWidth="1"/>
    <col min="7" max="7" width="11.5546875" bestFit="1" customWidth="1"/>
    <col min="8" max="8" width="9.88671875" bestFit="1" customWidth="1"/>
    <col min="9" max="9" width="13.5546875" bestFit="1" customWidth="1"/>
    <col min="10" max="10" width="38.6640625" bestFit="1" customWidth="1"/>
    <col min="11" max="11" width="20.77734375" bestFit="1" customWidth="1"/>
    <col min="12" max="12" width="9.33203125" bestFit="1" customWidth="1"/>
    <col min="13" max="13" width="10.44140625" bestFit="1" customWidth="1"/>
  </cols>
  <sheetData>
    <row r="1" spans="1:13" ht="19.8" x14ac:dyDescent="0.3">
      <c r="A1" s="127" t="str">
        <f>Summary!A1</f>
        <v>Zetas Zemin Teknologisi</v>
      </c>
      <c r="H1" s="99">
        <f ca="1">TODAY()</f>
        <v>46261</v>
      </c>
    </row>
    <row r="2" spans="1:13" ht="17.399999999999999" x14ac:dyDescent="0.3">
      <c r="A2" s="128" t="str">
        <f ca="1">_xlfn.CONCAT("Statement of Account as of ",TEXT(H1,"MMMMMMM DD, YYYY"))</f>
        <v>Statement of Account as of August 27, 2026</v>
      </c>
    </row>
    <row r="3" spans="1:13" ht="17.399999999999999" x14ac:dyDescent="0.3">
      <c r="A3" s="47"/>
    </row>
    <row r="4" spans="1:13" ht="17.399999999999999" x14ac:dyDescent="0.3">
      <c r="A4" s="47"/>
    </row>
    <row r="5" spans="1:13" ht="41.4" x14ac:dyDescent="0.3">
      <c r="A5" s="145" t="s">
        <v>51</v>
      </c>
      <c r="B5" s="145" t="s">
        <v>52</v>
      </c>
      <c r="C5" s="145" t="s">
        <v>53</v>
      </c>
      <c r="D5" s="145" t="s">
        <v>54</v>
      </c>
      <c r="E5" s="145" t="s">
        <v>55</v>
      </c>
      <c r="F5" s="145" t="s">
        <v>56</v>
      </c>
      <c r="G5" s="146" t="s">
        <v>57</v>
      </c>
      <c r="I5" s="147" t="s">
        <v>58</v>
      </c>
      <c r="J5" s="147" t="s">
        <v>59</v>
      </c>
      <c r="K5" s="147" t="s">
        <v>31</v>
      </c>
    </row>
    <row r="6" spans="1:13" x14ac:dyDescent="0.3">
      <c r="A6" s="171" t="s">
        <v>60</v>
      </c>
      <c r="B6" s="172">
        <f>Summary!B14</f>
        <v>170266235</v>
      </c>
      <c r="C6" s="172">
        <f>B6*5%</f>
        <v>8513311.75</v>
      </c>
      <c r="D6" s="172">
        <f>B6+C6</f>
        <v>178779546.75</v>
      </c>
      <c r="E6" s="173"/>
      <c r="F6" s="173"/>
      <c r="G6" s="174"/>
      <c r="H6" s="135"/>
      <c r="I6" s="175"/>
      <c r="J6" s="175"/>
      <c r="K6" s="175"/>
    </row>
    <row r="7" spans="1:13" x14ac:dyDescent="0.3">
      <c r="A7" s="176" t="s">
        <v>61</v>
      </c>
      <c r="B7" s="177"/>
      <c r="C7" s="177"/>
      <c r="D7" s="177"/>
      <c r="E7" s="178">
        <f>421000*1.05</f>
        <v>442050</v>
      </c>
      <c r="F7" s="178">
        <f>Table17[[#This Row],[Amount Invoiced
AED]]</f>
        <v>442050</v>
      </c>
      <c r="G7" s="179">
        <f>E7-F7</f>
        <v>0</v>
      </c>
      <c r="H7" s="135"/>
      <c r="I7" s="180">
        <f>Table17[[#This Row],[Payment
AED]]</f>
        <v>442050</v>
      </c>
      <c r="J7" s="181" t="s">
        <v>62</v>
      </c>
      <c r="K7" s="210" t="s">
        <v>63</v>
      </c>
      <c r="M7" s="193">
        <f>Table17[[#This Row],[Amount Invoiced
AED]]*100/105</f>
        <v>421000</v>
      </c>
    </row>
    <row r="8" spans="1:13" x14ac:dyDescent="0.3">
      <c r="A8" s="171" t="s">
        <v>64</v>
      </c>
      <c r="B8" s="172"/>
      <c r="C8" s="172"/>
      <c r="D8" s="172"/>
      <c r="E8" s="173">
        <v>884100</v>
      </c>
      <c r="F8" s="173">
        <v>842000</v>
      </c>
      <c r="G8" s="174">
        <f t="shared" ref="G8:G23" si="0">E8-F8</f>
        <v>42100</v>
      </c>
      <c r="H8" s="135"/>
      <c r="I8" s="182">
        <f>Table17[[#This Row],[Payment
AED]]</f>
        <v>842000</v>
      </c>
      <c r="J8" s="175" t="s">
        <v>65</v>
      </c>
      <c r="K8" s="211" t="s">
        <v>66</v>
      </c>
      <c r="L8" s="102"/>
      <c r="M8" s="193">
        <f>Table17[[#This Row],[Amount Invoiced
AED]]*100/105</f>
        <v>842000</v>
      </c>
    </row>
    <row r="9" spans="1:13" x14ac:dyDescent="0.3">
      <c r="A9" s="176" t="s">
        <v>67</v>
      </c>
      <c r="B9" s="177"/>
      <c r="C9" s="177"/>
      <c r="D9" s="177"/>
      <c r="E9" s="178">
        <v>1326150</v>
      </c>
      <c r="F9" s="178">
        <v>1263000</v>
      </c>
      <c r="G9" s="179">
        <f t="shared" si="0"/>
        <v>63150</v>
      </c>
      <c r="H9" s="135"/>
      <c r="I9" s="180">
        <f>Table17[[#This Row],[Payment
AED]]</f>
        <v>1263000</v>
      </c>
      <c r="J9" s="181" t="s">
        <v>65</v>
      </c>
      <c r="K9" s="210" t="s">
        <v>68</v>
      </c>
      <c r="L9" s="102"/>
      <c r="M9" s="193">
        <f>Table17[[#This Row],[Amount Invoiced
AED]]*100/105</f>
        <v>1263000</v>
      </c>
    </row>
    <row r="10" spans="1:13" x14ac:dyDescent="0.3">
      <c r="A10" s="171" t="s">
        <v>69</v>
      </c>
      <c r="B10" s="172"/>
      <c r="C10" s="172"/>
      <c r="D10" s="172"/>
      <c r="E10" s="173">
        <v>1768200</v>
      </c>
      <c r="F10" s="173">
        <v>1684000</v>
      </c>
      <c r="G10" s="174">
        <f t="shared" si="0"/>
        <v>84200</v>
      </c>
      <c r="H10" s="135"/>
      <c r="I10" s="182">
        <f>Table17[[#This Row],[Payment
AED]]</f>
        <v>1684000</v>
      </c>
      <c r="J10" s="175" t="s">
        <v>65</v>
      </c>
      <c r="K10" s="211" t="s">
        <v>70</v>
      </c>
      <c r="L10" s="102"/>
      <c r="M10" s="193">
        <f>Table17[[#This Row],[Amount Invoiced
AED]]*100/105</f>
        <v>1684000</v>
      </c>
    </row>
    <row r="11" spans="1:13" x14ac:dyDescent="0.3">
      <c r="A11" s="176" t="s">
        <v>71</v>
      </c>
      <c r="B11" s="177"/>
      <c r="C11" s="177"/>
      <c r="D11" s="177"/>
      <c r="E11" s="178">
        <v>17877954.675000001</v>
      </c>
      <c r="F11" s="178">
        <v>17026623.5</v>
      </c>
      <c r="G11" s="179">
        <f t="shared" si="0"/>
        <v>851331.17500000075</v>
      </c>
      <c r="H11" s="135"/>
      <c r="I11" s="180">
        <f>Table17[[#This Row],[Payment
AED]]</f>
        <v>17026623.5</v>
      </c>
      <c r="J11" s="181" t="s">
        <v>65</v>
      </c>
      <c r="K11" s="210" t="s">
        <v>72</v>
      </c>
      <c r="L11" s="102"/>
      <c r="M11" s="125"/>
    </row>
    <row r="12" spans="1:13" hidden="1" x14ac:dyDescent="0.3">
      <c r="A12" s="171"/>
      <c r="B12" s="172"/>
      <c r="C12" s="172"/>
      <c r="D12" s="172"/>
      <c r="E12" s="173"/>
      <c r="F12" s="173"/>
      <c r="G12" s="174">
        <f t="shared" si="0"/>
        <v>0</v>
      </c>
      <c r="H12" s="135"/>
      <c r="I12" s="180">
        <f>Table17[[#This Row],[Payment
AED]]</f>
        <v>0</v>
      </c>
      <c r="J12" s="181"/>
      <c r="K12" s="210"/>
      <c r="L12" s="102"/>
      <c r="M12" s="125">
        <f>Table17[[#This Row],[Amount Invoiced
AED]]/$D$6</f>
        <v>0</v>
      </c>
    </row>
    <row r="13" spans="1:13" hidden="1" x14ac:dyDescent="0.3">
      <c r="A13" s="176"/>
      <c r="B13" s="177"/>
      <c r="C13" s="177"/>
      <c r="D13" s="177"/>
      <c r="E13" s="178"/>
      <c r="F13" s="178"/>
      <c r="G13" s="179">
        <f t="shared" si="0"/>
        <v>0</v>
      </c>
      <c r="H13" s="135"/>
      <c r="I13" s="182">
        <f>Table17[[#This Row],[Payment
AED]]</f>
        <v>0</v>
      </c>
      <c r="J13" s="175"/>
      <c r="K13" s="211"/>
      <c r="L13" s="102"/>
      <c r="M13" s="125">
        <f>Table17[[#This Row],[Amount Invoiced
AED]]/$D$6</f>
        <v>0</v>
      </c>
    </row>
    <row r="14" spans="1:13" hidden="1" x14ac:dyDescent="0.3">
      <c r="A14" s="171"/>
      <c r="B14" s="172"/>
      <c r="C14" s="172"/>
      <c r="D14" s="172"/>
      <c r="E14" s="173"/>
      <c r="F14" s="173"/>
      <c r="G14" s="174">
        <f t="shared" si="0"/>
        <v>0</v>
      </c>
      <c r="H14" s="135"/>
      <c r="I14" s="180">
        <f>Table17[[#This Row],[Payment
AED]]</f>
        <v>0</v>
      </c>
      <c r="J14" s="181"/>
      <c r="K14" s="210"/>
      <c r="L14" s="102"/>
      <c r="M14" s="125">
        <f>Table17[[#This Row],[Amount Invoiced
AED]]/$D$6</f>
        <v>0</v>
      </c>
    </row>
    <row r="15" spans="1:13" hidden="1" x14ac:dyDescent="0.3">
      <c r="A15" s="176"/>
      <c r="B15" s="177"/>
      <c r="C15" s="177"/>
      <c r="D15" s="177"/>
      <c r="E15" s="178"/>
      <c r="F15" s="178"/>
      <c r="G15" s="179">
        <f t="shared" si="0"/>
        <v>0</v>
      </c>
      <c r="H15" s="135"/>
      <c r="I15" s="182">
        <f>Table17[[#This Row],[Payment
AED]]</f>
        <v>0</v>
      </c>
      <c r="J15" s="175"/>
      <c r="K15" s="211"/>
      <c r="L15" s="102"/>
      <c r="M15" s="125">
        <f>Table17[[#This Row],[Amount Invoiced
AED]]/$D$6</f>
        <v>0</v>
      </c>
    </row>
    <row r="16" spans="1:13" hidden="1" x14ac:dyDescent="0.3">
      <c r="A16" s="171"/>
      <c r="B16" s="172"/>
      <c r="C16" s="172"/>
      <c r="D16" s="172"/>
      <c r="E16" s="173"/>
      <c r="F16" s="173"/>
      <c r="G16" s="174">
        <f t="shared" si="0"/>
        <v>0</v>
      </c>
      <c r="H16" s="135"/>
      <c r="I16" s="180">
        <f>Table17[[#This Row],[Payment
AED]]</f>
        <v>0</v>
      </c>
      <c r="J16" s="181"/>
      <c r="K16" s="210"/>
      <c r="L16" s="102"/>
      <c r="M16" s="125">
        <f>Table17[[#This Row],[Amount Invoiced
AED]]/$D$6</f>
        <v>0</v>
      </c>
    </row>
    <row r="17" spans="1:13" hidden="1" x14ac:dyDescent="0.3">
      <c r="A17" s="176"/>
      <c r="B17" s="177"/>
      <c r="C17" s="177"/>
      <c r="D17" s="177"/>
      <c r="E17" s="178"/>
      <c r="F17" s="178"/>
      <c r="G17" s="179">
        <f t="shared" si="0"/>
        <v>0</v>
      </c>
      <c r="H17" s="135"/>
      <c r="I17" s="182">
        <f>Table17[[#This Row],[Payment
AED]]</f>
        <v>0</v>
      </c>
      <c r="J17" s="175"/>
      <c r="K17" s="211"/>
      <c r="L17" s="102"/>
      <c r="M17" s="125">
        <f>Table17[[#This Row],[Amount Invoiced
AED]]/$D$6</f>
        <v>0</v>
      </c>
    </row>
    <row r="18" spans="1:13" hidden="1" x14ac:dyDescent="0.3">
      <c r="A18" s="171"/>
      <c r="B18" s="172"/>
      <c r="C18" s="172"/>
      <c r="D18" s="172"/>
      <c r="E18" s="173"/>
      <c r="F18" s="173"/>
      <c r="G18" s="174">
        <f t="shared" si="0"/>
        <v>0</v>
      </c>
      <c r="H18" s="135"/>
      <c r="I18" s="180">
        <f>Table17[[#This Row],[Payment
AED]]</f>
        <v>0</v>
      </c>
      <c r="J18" s="181"/>
      <c r="K18" s="210"/>
      <c r="L18" s="102"/>
      <c r="M18" s="125">
        <f>Table17[[#This Row],[Amount Invoiced
AED]]/$D$6</f>
        <v>0</v>
      </c>
    </row>
    <row r="19" spans="1:13" x14ac:dyDescent="0.3">
      <c r="A19" s="176" t="s">
        <v>73</v>
      </c>
      <c r="B19" s="177"/>
      <c r="C19" s="177"/>
      <c r="D19" s="177"/>
      <c r="E19" s="178">
        <v>4522468.49</v>
      </c>
      <c r="F19" s="178">
        <v>4307112.8476190474</v>
      </c>
      <c r="G19" s="179">
        <f t="shared" si="0"/>
        <v>215355.64238095284</v>
      </c>
      <c r="H19" s="135"/>
      <c r="I19" s="182">
        <f>Table17[[#This Row],[Payment
AED]]</f>
        <v>4307112.8476190474</v>
      </c>
      <c r="J19" s="175" t="s">
        <v>65</v>
      </c>
      <c r="K19" s="211" t="s">
        <v>74</v>
      </c>
      <c r="L19" s="102"/>
      <c r="M19" s="125"/>
    </row>
    <row r="20" spans="1:13" x14ac:dyDescent="0.3">
      <c r="A20" s="176" t="s">
        <v>75</v>
      </c>
      <c r="B20" s="178"/>
      <c r="C20" s="178"/>
      <c r="D20" s="178"/>
      <c r="E20" s="177">
        <v>6416893.9299999997</v>
      </c>
      <c r="F20" s="177">
        <v>6111327</v>
      </c>
      <c r="G20" s="179">
        <f t="shared" si="0"/>
        <v>305566.9299999997</v>
      </c>
      <c r="H20" s="135"/>
      <c r="I20" s="183">
        <f>Table17[[#This Row],[Payment
AED]]</f>
        <v>6111327</v>
      </c>
      <c r="J20" s="194" t="s">
        <v>65</v>
      </c>
      <c r="K20" s="212" t="s">
        <v>177</v>
      </c>
    </row>
    <row r="21" spans="1:13" x14ac:dyDescent="0.3">
      <c r="A21" s="176" t="s">
        <v>174</v>
      </c>
      <c r="B21" s="178"/>
      <c r="C21" s="178"/>
      <c r="D21" s="178"/>
      <c r="E21" s="177">
        <v>10452758.189999999</v>
      </c>
      <c r="F21" s="177">
        <v>9955008</v>
      </c>
      <c r="G21" s="179">
        <f t="shared" si="0"/>
        <v>497750.18999999948</v>
      </c>
      <c r="H21" s="135"/>
      <c r="I21" s="182">
        <f>Table17[[#This Row],[Payment
AED]]</f>
        <v>9955008</v>
      </c>
      <c r="J21" s="175" t="s">
        <v>65</v>
      </c>
      <c r="K21" s="211" t="s">
        <v>178</v>
      </c>
    </row>
    <row r="22" spans="1:13" x14ac:dyDescent="0.3">
      <c r="A22" s="176" t="s">
        <v>179</v>
      </c>
      <c r="B22" s="178"/>
      <c r="C22" s="178"/>
      <c r="D22" s="178"/>
      <c r="E22" s="177">
        <v>8372268.5</v>
      </c>
      <c r="F22" s="177">
        <v>7973589.0499999998</v>
      </c>
      <c r="G22" s="179">
        <f t="shared" si="0"/>
        <v>398679.45000000019</v>
      </c>
      <c r="H22" s="135"/>
      <c r="I22" s="183">
        <f>Table17[[#This Row],[Payment
AED]]</f>
        <v>7973589.0499999998</v>
      </c>
      <c r="J22" s="194" t="s">
        <v>65</v>
      </c>
      <c r="K22" s="212" t="s">
        <v>180</v>
      </c>
    </row>
    <row r="23" spans="1:13" x14ac:dyDescent="0.3">
      <c r="A23" s="176" t="s">
        <v>183</v>
      </c>
      <c r="B23" s="178"/>
      <c r="C23" s="178"/>
      <c r="D23" s="178"/>
      <c r="E23" s="177">
        <v>2924079.9</v>
      </c>
      <c r="F23" s="177">
        <v>2784838</v>
      </c>
      <c r="G23" s="179">
        <f t="shared" si="0"/>
        <v>139241.89999999991</v>
      </c>
      <c r="I23" s="182">
        <f>Table17[[#This Row],[Payment
AED]]</f>
        <v>2784838</v>
      </c>
      <c r="J23" s="175" t="s">
        <v>65</v>
      </c>
      <c r="K23" s="211" t="s">
        <v>184</v>
      </c>
    </row>
    <row r="24" spans="1:13" x14ac:dyDescent="0.3">
      <c r="A24" s="176" t="s">
        <v>187</v>
      </c>
      <c r="B24" s="178"/>
      <c r="C24" s="178"/>
      <c r="D24" s="178"/>
      <c r="E24" s="177">
        <v>2210672.52</v>
      </c>
      <c r="F24" s="177">
        <v>2105402.4</v>
      </c>
      <c r="G24" s="179">
        <f>E24-F24</f>
        <v>105270.12000000011</v>
      </c>
      <c r="I24" s="183">
        <f>Table17[[#This Row],[Payment
AED]]</f>
        <v>2105402.4</v>
      </c>
      <c r="J24" s="194" t="s">
        <v>65</v>
      </c>
      <c r="K24" s="212" t="s">
        <v>188</v>
      </c>
    </row>
    <row r="25" spans="1:13" x14ac:dyDescent="0.3">
      <c r="A25" s="176" t="s">
        <v>191</v>
      </c>
      <c r="B25" s="178"/>
      <c r="C25" s="178"/>
      <c r="D25" s="178"/>
      <c r="E25" s="177">
        <v>6304870.79</v>
      </c>
      <c r="F25" s="177">
        <v>6004638.8499999996</v>
      </c>
      <c r="G25" s="179">
        <f>E25-F25</f>
        <v>300231.94000000041</v>
      </c>
      <c r="I25" s="182">
        <f>Table17[[#This Row],[Payment
AED]]</f>
        <v>6004638.8499999996</v>
      </c>
      <c r="J25" s="175" t="s">
        <v>65</v>
      </c>
      <c r="K25" s="211" t="s">
        <v>194</v>
      </c>
    </row>
    <row r="26" spans="1:13" x14ac:dyDescent="0.3">
      <c r="A26" s="176" t="s">
        <v>205</v>
      </c>
      <c r="B26" s="178"/>
      <c r="C26" s="178"/>
      <c r="D26" s="178"/>
      <c r="E26" s="177">
        <v>10367006.42</v>
      </c>
      <c r="F26" s="177">
        <v>9873339.4499999993</v>
      </c>
      <c r="G26" s="179">
        <f>E26-F26</f>
        <v>493666.97000000067</v>
      </c>
      <c r="I26" s="183">
        <f>Table17[[#This Row],[Payment
AED]]</f>
        <v>9873339.4499999993</v>
      </c>
      <c r="J26" s="194" t="s">
        <v>65</v>
      </c>
      <c r="K26" s="212" t="s">
        <v>188</v>
      </c>
    </row>
    <row r="27" spans="1:13" x14ac:dyDescent="0.3">
      <c r="A27" s="176" t="s">
        <v>208</v>
      </c>
      <c r="B27" s="178"/>
      <c r="C27" s="178"/>
      <c r="D27" s="178"/>
      <c r="E27" s="177">
        <v>4210319.28</v>
      </c>
      <c r="F27" s="177">
        <v>4009827.8857142855</v>
      </c>
      <c r="G27" s="179">
        <f>E27-F27</f>
        <v>200491.39428571472</v>
      </c>
      <c r="I27" s="182">
        <f>Table17[[#This Row],[Payment
AED]]</f>
        <v>4009827.8857142855</v>
      </c>
      <c r="J27" s="175" t="s">
        <v>65</v>
      </c>
      <c r="K27" s="211" t="s">
        <v>209</v>
      </c>
    </row>
    <row r="28" spans="1:13" x14ac:dyDescent="0.3">
      <c r="A28" s="176" t="s">
        <v>211</v>
      </c>
      <c r="B28" s="178"/>
      <c r="C28" s="178"/>
      <c r="D28" s="178"/>
      <c r="E28" s="177">
        <v>8441929.1699999999</v>
      </c>
      <c r="F28" s="177">
        <v>8039932.54</v>
      </c>
      <c r="G28" s="179">
        <f>E28-F28</f>
        <v>401996.62999999989</v>
      </c>
      <c r="I28" s="183">
        <f>Table17[[#This Row],[Payment
AED]]</f>
        <v>8039932.54</v>
      </c>
      <c r="J28" s="194" t="s">
        <v>65</v>
      </c>
      <c r="K28" s="212" t="s">
        <v>213</v>
      </c>
    </row>
    <row r="29" spans="1:13" x14ac:dyDescent="0.3">
      <c r="A29" s="176" t="s">
        <v>216</v>
      </c>
      <c r="B29" s="178"/>
      <c r="C29" s="178"/>
      <c r="D29" s="178"/>
      <c r="E29" s="177">
        <v>15987204.02</v>
      </c>
      <c r="F29" s="177">
        <f>3996801.01+11419431.44</f>
        <v>15416232.449999999</v>
      </c>
      <c r="G29" s="179">
        <f t="shared" ref="G29:G30" si="1">E29-F29</f>
        <v>570971.5700000003</v>
      </c>
      <c r="I29" s="182">
        <f>Table17[[#This Row],[Payment
AED]]</f>
        <v>15416232.449999999</v>
      </c>
      <c r="J29" s="175" t="s">
        <v>220</v>
      </c>
      <c r="K29" s="211" t="s">
        <v>221</v>
      </c>
    </row>
    <row r="30" spans="1:13" x14ac:dyDescent="0.3">
      <c r="A30" s="176" t="s">
        <v>219</v>
      </c>
      <c r="B30" s="178"/>
      <c r="C30" s="178"/>
      <c r="D30" s="178"/>
      <c r="E30" s="177">
        <v>12236445.85</v>
      </c>
      <c r="F30" s="177">
        <v>11653757.952380951</v>
      </c>
      <c r="G30" s="179">
        <f t="shared" si="1"/>
        <v>582687.89761904813</v>
      </c>
      <c r="I30" s="183">
        <f>Table17[[#This Row],[Payment
AED]]</f>
        <v>11653757.952380951</v>
      </c>
      <c r="J30" s="194" t="s">
        <v>65</v>
      </c>
      <c r="K30" s="212" t="s">
        <v>222</v>
      </c>
    </row>
    <row r="31" spans="1:13" x14ac:dyDescent="0.3">
      <c r="A31" s="176" t="s">
        <v>225</v>
      </c>
      <c r="B31" s="178"/>
      <c r="C31" s="178"/>
      <c r="D31" s="178"/>
      <c r="E31" s="177">
        <v>10801173.039999999</v>
      </c>
      <c r="F31" s="177"/>
      <c r="G31" s="179">
        <f t="shared" ref="G31" si="2">E31-F31</f>
        <v>10801173.039999999</v>
      </c>
      <c r="I31" s="182">
        <f>Table17[[#This Row],[Payment
AED]]</f>
        <v>0</v>
      </c>
      <c r="J31" s="175"/>
      <c r="K31" s="211"/>
    </row>
    <row r="32" spans="1:13" x14ac:dyDescent="0.3">
      <c r="A32" s="184" t="s">
        <v>44</v>
      </c>
      <c r="B32" s="185">
        <f t="shared" ref="B32:D32" si="3">SUBTOTAL(109,B6:B27)</f>
        <v>170266235</v>
      </c>
      <c r="C32" s="185">
        <f t="shared" si="3"/>
        <v>8513311.75</v>
      </c>
      <c r="D32" s="185">
        <f t="shared" si="3"/>
        <v>178779546.75</v>
      </c>
      <c r="E32" s="185">
        <f>SUBTOTAL(109,E6:E31)</f>
        <v>125546544.77499998</v>
      </c>
      <c r="F32" s="185">
        <f>SUM(F6:F31)</f>
        <v>109492679.9257143</v>
      </c>
      <c r="G32" s="185">
        <f>SUBTOTAL(109,G6:G31)</f>
        <v>16053864.849285716</v>
      </c>
      <c r="I32" s="208">
        <f>SUM(I7:I30)</f>
        <v>109492679.9257143</v>
      </c>
      <c r="J32" s="194"/>
      <c r="K32" s="194"/>
    </row>
    <row r="33" spans="1:9" x14ac:dyDescent="0.3">
      <c r="A33" s="213"/>
      <c r="B33" s="214"/>
      <c r="C33" s="214"/>
      <c r="D33" s="214"/>
      <c r="E33" s="215"/>
      <c r="F33" s="214"/>
      <c r="G33" s="179"/>
    </row>
    <row r="34" spans="1:9" x14ac:dyDescent="0.3">
      <c r="E34" s="11"/>
      <c r="F34" s="118"/>
    </row>
    <row r="35" spans="1:9" x14ac:dyDescent="0.3">
      <c r="D35" s="11"/>
      <c r="E35" s="11"/>
      <c r="F35" s="118"/>
      <c r="I35" s="100"/>
    </row>
    <row r="36" spans="1:9" x14ac:dyDescent="0.3">
      <c r="D36" s="11"/>
      <c r="E36" s="101"/>
      <c r="F36" s="101"/>
      <c r="I36" s="197"/>
    </row>
    <row r="37" spans="1:9" x14ac:dyDescent="0.3">
      <c r="D37" s="118"/>
      <c r="F37" s="118"/>
    </row>
    <row r="39" spans="1:9" x14ac:dyDescent="0.3">
      <c r="B39" s="11"/>
    </row>
  </sheetData>
  <pageMargins left="0.70866141732283472" right="0.70866141732283472" top="0.74803149606299213" bottom="0.74803149606299213" header="0.31496062992125984" footer="0.31496062992125984"/>
  <pageSetup paperSize="9" scale="3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EB49-75EC-40FE-8735-EECE768E02AA}">
  <sheetPr codeName="Sheet4">
    <pageSetUpPr fitToPage="1"/>
  </sheetPr>
  <dimension ref="A1:T83"/>
  <sheetViews>
    <sheetView topLeftCell="A2" workbookViewId="0">
      <selection activeCell="A7" sqref="A7"/>
    </sheetView>
  </sheetViews>
  <sheetFormatPr defaultRowHeight="14.4" x14ac:dyDescent="0.3"/>
  <cols>
    <col min="1" max="1" width="89" bestFit="1" customWidth="1"/>
    <col min="2" max="2" width="12.109375" bestFit="1" customWidth="1"/>
    <col min="3" max="4" width="10.88671875" bestFit="1" customWidth="1"/>
    <col min="5" max="6" width="12.109375" bestFit="1" customWidth="1"/>
    <col min="7" max="7" width="12.44140625" bestFit="1" customWidth="1"/>
    <col min="8" max="8" width="11.5546875" bestFit="1" customWidth="1"/>
    <col min="9" max="10" width="9.44140625" bestFit="1" customWidth="1"/>
    <col min="11" max="11" width="28.88671875" bestFit="1" customWidth="1"/>
    <col min="12" max="12" width="9.88671875" style="38" bestFit="1" customWidth="1"/>
  </cols>
  <sheetData>
    <row r="1" spans="1:20" ht="19.95" hidden="1" customHeight="1" x14ac:dyDescent="0.3">
      <c r="A1" s="45" t="s">
        <v>76</v>
      </c>
      <c r="I1" s="99">
        <f>[1]Summary!I1</f>
        <v>46231</v>
      </c>
    </row>
    <row r="2" spans="1:20" ht="17.399999999999999" x14ac:dyDescent="0.3">
      <c r="A2" s="143" t="str">
        <f>_xlfn.CONCAT("Statement of Account as of ",TEXT(I1,"MMMMMMM DD, YYYY"))</f>
        <v>Statement of Account as of July 28, 2026</v>
      </c>
      <c r="H2" s="100"/>
    </row>
    <row r="4" spans="1:20" ht="17.399999999999999" x14ac:dyDescent="0.35">
      <c r="A4" s="144" t="str">
        <f>Summary!A7</f>
        <v>Variation</v>
      </c>
    </row>
    <row r="5" spans="1:20" ht="41.4" x14ac:dyDescent="0.3">
      <c r="A5" s="145" t="s">
        <v>51</v>
      </c>
      <c r="B5" s="145" t="s">
        <v>52</v>
      </c>
      <c r="C5" s="145" t="s">
        <v>53</v>
      </c>
      <c r="D5" s="145" t="s">
        <v>54</v>
      </c>
      <c r="E5" s="145" t="s">
        <v>36</v>
      </c>
      <c r="F5" s="145" t="s">
        <v>77</v>
      </c>
      <c r="G5" s="145" t="s">
        <v>37</v>
      </c>
      <c r="H5" s="146" t="s">
        <v>57</v>
      </c>
      <c r="J5" s="147" t="s">
        <v>58</v>
      </c>
      <c r="K5" s="147" t="s">
        <v>78</v>
      </c>
      <c r="L5" s="147" t="s">
        <v>31</v>
      </c>
    </row>
    <row r="6" spans="1:20" x14ac:dyDescent="0.3">
      <c r="A6" s="160" t="s">
        <v>79</v>
      </c>
      <c r="B6" s="161">
        <v>615000</v>
      </c>
      <c r="C6" s="161">
        <f>Table158[[#This Row],[Contract Value
--AED--]]*0.05</f>
        <v>30750</v>
      </c>
      <c r="D6" s="161">
        <f>SUM(Table158[[#This Row],[Contract Value
--AED--]:[Vat 5%
--AED--]])</f>
        <v>645750</v>
      </c>
      <c r="E6" s="150"/>
      <c r="F6" s="150"/>
      <c r="G6" s="151"/>
      <c r="H6" s="151"/>
      <c r="J6" s="152"/>
      <c r="K6" s="152"/>
      <c r="L6" s="152"/>
    </row>
    <row r="7" spans="1:20" x14ac:dyDescent="0.3">
      <c r="A7" s="153" t="s">
        <v>80</v>
      </c>
      <c r="B7" s="90"/>
      <c r="C7" s="90"/>
      <c r="D7" s="90"/>
      <c r="E7" s="91">
        <f>D6</f>
        <v>645750</v>
      </c>
      <c r="F7" s="154">
        <f>Table158[[#This Row],[Amount Invoiced]]/$D$6</f>
        <v>1</v>
      </c>
      <c r="G7" s="155">
        <v>615000</v>
      </c>
      <c r="H7" s="155">
        <f>Table158[[#This Row],[Amount Invoiced]]-Table158[[#This Row],[Payment]]</f>
        <v>30750</v>
      </c>
      <c r="J7" s="156">
        <f>Table158[[#This Row],[Payment]]</f>
        <v>615000</v>
      </c>
      <c r="K7" s="157" t="s">
        <v>65</v>
      </c>
      <c r="L7" s="158" t="s">
        <v>81</v>
      </c>
    </row>
    <row r="8" spans="1:20" x14ac:dyDescent="0.3">
      <c r="A8" s="148"/>
      <c r="B8" s="149"/>
      <c r="C8" s="149"/>
      <c r="D8" s="149"/>
      <c r="E8" s="150"/>
      <c r="F8" s="159"/>
      <c r="G8" s="151"/>
      <c r="H8" s="151"/>
      <c r="J8" s="152"/>
      <c r="K8" s="152"/>
      <c r="L8" s="152"/>
      <c r="T8">
        <v>25000</v>
      </c>
    </row>
    <row r="9" spans="1:20" x14ac:dyDescent="0.3">
      <c r="A9" s="153"/>
      <c r="B9" s="90"/>
      <c r="C9" s="90"/>
      <c r="D9" s="90"/>
      <c r="E9" s="91"/>
      <c r="F9" s="154"/>
      <c r="G9" s="155"/>
      <c r="H9" s="155"/>
      <c r="J9" s="156"/>
      <c r="K9" s="157"/>
      <c r="L9" s="158"/>
      <c r="M9" s="100"/>
      <c r="N9" s="100"/>
      <c r="T9">
        <f>T8*0.6</f>
        <v>15000</v>
      </c>
    </row>
    <row r="10" spans="1:20" x14ac:dyDescent="0.3">
      <c r="A10" s="160"/>
      <c r="B10" s="161"/>
      <c r="C10" s="161"/>
      <c r="D10" s="161"/>
      <c r="E10" s="162"/>
      <c r="F10" s="163"/>
      <c r="G10" s="164"/>
      <c r="H10" s="164"/>
      <c r="J10" s="152"/>
      <c r="K10" s="152"/>
      <c r="L10" s="152"/>
      <c r="T10">
        <f>T8*0.3</f>
        <v>7500</v>
      </c>
    </row>
    <row r="11" spans="1:20" x14ac:dyDescent="0.3">
      <c r="A11" s="153"/>
      <c r="B11" s="90"/>
      <c r="C11" s="90"/>
      <c r="D11" s="90"/>
      <c r="E11" s="91"/>
      <c r="F11" s="154"/>
      <c r="G11" s="155"/>
      <c r="H11" s="155"/>
      <c r="J11" s="156"/>
      <c r="K11" s="157"/>
      <c r="L11" s="158"/>
      <c r="T11">
        <f>T8*0.1</f>
        <v>2500</v>
      </c>
    </row>
    <row r="12" spans="1:20" x14ac:dyDescent="0.3">
      <c r="A12" s="148"/>
      <c r="B12" s="149"/>
      <c r="C12" s="149"/>
      <c r="D12" s="149"/>
      <c r="E12" s="150"/>
      <c r="F12" s="159"/>
      <c r="G12" s="151"/>
      <c r="H12" s="151"/>
      <c r="J12" s="152"/>
      <c r="K12" s="152"/>
      <c r="L12" s="152"/>
    </row>
    <row r="13" spans="1:20" x14ac:dyDescent="0.3">
      <c r="A13" s="153"/>
      <c r="B13" s="90"/>
      <c r="C13" s="90"/>
      <c r="D13" s="90"/>
      <c r="E13" s="91"/>
      <c r="F13" s="154"/>
      <c r="G13" s="155"/>
      <c r="H13" s="155"/>
      <c r="J13" s="156"/>
      <c r="K13" s="157"/>
      <c r="L13" s="158"/>
    </row>
    <row r="14" spans="1:20" x14ac:dyDescent="0.3">
      <c r="A14" s="148"/>
      <c r="B14" s="149"/>
      <c r="C14" s="149"/>
      <c r="D14" s="149"/>
      <c r="E14" s="150"/>
      <c r="F14" s="159"/>
      <c r="G14" s="151"/>
      <c r="H14" s="151"/>
      <c r="J14" s="152"/>
      <c r="K14" s="152"/>
      <c r="L14" s="152"/>
    </row>
    <row r="15" spans="1:20" x14ac:dyDescent="0.3">
      <c r="A15" s="165"/>
      <c r="B15" s="166"/>
      <c r="C15" s="166"/>
      <c r="D15" s="166"/>
      <c r="E15" s="167"/>
      <c r="F15" s="168"/>
      <c r="G15" s="169"/>
      <c r="H15" s="169"/>
      <c r="J15" s="156"/>
      <c r="K15" s="157"/>
      <c r="L15" s="158"/>
    </row>
    <row r="16" spans="1:20" x14ac:dyDescent="0.3">
      <c r="A16" s="148"/>
      <c r="B16" s="149"/>
      <c r="C16" s="149"/>
      <c r="D16" s="149"/>
      <c r="E16" s="150"/>
      <c r="F16" s="150"/>
      <c r="G16" s="151"/>
      <c r="H16" s="151"/>
      <c r="J16" s="152"/>
      <c r="K16" s="152"/>
      <c r="L16" s="152"/>
    </row>
    <row r="17" spans="1:12" x14ac:dyDescent="0.3">
      <c r="A17" s="153"/>
      <c r="B17" s="90"/>
      <c r="C17" s="90"/>
      <c r="D17" s="90"/>
      <c r="E17" s="91"/>
      <c r="F17" s="154"/>
      <c r="G17" s="155"/>
      <c r="H17" s="155"/>
      <c r="J17" s="156"/>
      <c r="K17" s="157"/>
      <c r="L17" s="158"/>
    </row>
    <row r="18" spans="1:12" x14ac:dyDescent="0.3">
      <c r="A18" s="148"/>
      <c r="B18" s="149"/>
      <c r="C18" s="149"/>
      <c r="D18" s="149"/>
      <c r="E18" s="150"/>
      <c r="F18" s="159"/>
      <c r="G18" s="151"/>
      <c r="H18" s="151"/>
      <c r="J18" s="152"/>
      <c r="K18" s="152"/>
      <c r="L18" s="152"/>
    </row>
    <row r="19" spans="1:12" x14ac:dyDescent="0.3">
      <c r="A19" s="153"/>
      <c r="B19" s="90"/>
      <c r="C19" s="90"/>
      <c r="D19" s="90"/>
      <c r="E19" s="91"/>
      <c r="F19" s="154"/>
      <c r="G19" s="155"/>
      <c r="H19" s="155"/>
      <c r="J19" s="156"/>
      <c r="K19" s="157"/>
      <c r="L19" s="158"/>
    </row>
    <row r="20" spans="1:12" x14ac:dyDescent="0.3">
      <c r="A20" s="160"/>
      <c r="B20" s="161"/>
      <c r="C20" s="161"/>
      <c r="D20" s="161"/>
      <c r="E20" s="162"/>
      <c r="F20" s="163"/>
      <c r="G20" s="164"/>
      <c r="H20" s="164"/>
      <c r="J20" s="152"/>
      <c r="K20" s="152"/>
      <c r="L20" s="152"/>
    </row>
    <row r="21" spans="1:12" x14ac:dyDescent="0.3">
      <c r="A21" s="153"/>
      <c r="B21" s="90"/>
      <c r="C21" s="90"/>
      <c r="D21" s="90"/>
      <c r="E21" s="91"/>
      <c r="F21" s="154"/>
      <c r="G21" s="155"/>
      <c r="H21" s="155"/>
      <c r="J21" s="156"/>
      <c r="K21" s="157"/>
      <c r="L21" s="158"/>
    </row>
    <row r="22" spans="1:12" x14ac:dyDescent="0.3">
      <c r="A22" s="148"/>
      <c r="B22" s="149"/>
      <c r="C22" s="149"/>
      <c r="D22" s="149"/>
      <c r="E22" s="150"/>
      <c r="F22" s="154"/>
      <c r="G22" s="151"/>
      <c r="H22" s="151"/>
      <c r="J22" s="152"/>
      <c r="K22" s="152"/>
      <c r="L22" s="152"/>
    </row>
    <row r="23" spans="1:12" x14ac:dyDescent="0.3">
      <c r="A23" s="153"/>
      <c r="B23" s="90"/>
      <c r="C23" s="90"/>
      <c r="D23" s="90"/>
      <c r="E23" s="91"/>
      <c r="F23" s="154"/>
      <c r="G23" s="155"/>
      <c r="H23" s="155"/>
      <c r="J23" s="156"/>
      <c r="K23" s="157"/>
      <c r="L23" s="158"/>
    </row>
    <row r="24" spans="1:12" x14ac:dyDescent="0.3">
      <c r="A24" s="160"/>
      <c r="B24" s="161"/>
      <c r="C24" s="161"/>
      <c r="D24" s="161"/>
      <c r="E24" s="162"/>
      <c r="F24" s="163"/>
      <c r="G24" s="164"/>
      <c r="H24" s="164"/>
      <c r="J24" s="152"/>
      <c r="K24" s="152"/>
      <c r="L24" s="152"/>
    </row>
    <row r="25" spans="1:12" x14ac:dyDescent="0.3">
      <c r="A25" s="153"/>
      <c r="B25" s="90"/>
      <c r="C25" s="90"/>
      <c r="D25" s="90"/>
      <c r="E25" s="91"/>
      <c r="F25" s="154"/>
      <c r="G25" s="155"/>
      <c r="H25" s="155"/>
      <c r="J25" s="156"/>
      <c r="K25" s="157"/>
      <c r="L25" s="158"/>
    </row>
    <row r="26" spans="1:12" x14ac:dyDescent="0.3">
      <c r="A26" s="148"/>
      <c r="B26" s="149"/>
      <c r="C26" s="149"/>
      <c r="D26" s="149"/>
      <c r="E26" s="150"/>
      <c r="F26" s="159"/>
      <c r="G26" s="151"/>
      <c r="H26" s="151"/>
      <c r="J26" s="152"/>
      <c r="K26" s="152"/>
      <c r="L26" s="152"/>
    </row>
    <row r="27" spans="1:12" x14ac:dyDescent="0.3">
      <c r="A27" s="153"/>
      <c r="B27" s="90"/>
      <c r="C27" s="90"/>
      <c r="D27" s="90"/>
      <c r="E27" s="91"/>
      <c r="F27" s="154"/>
      <c r="G27" s="155"/>
      <c r="H27" s="155"/>
      <c r="J27" s="156"/>
      <c r="K27" s="157"/>
      <c r="L27" s="158"/>
    </row>
    <row r="28" spans="1:12" x14ac:dyDescent="0.3">
      <c r="A28" s="160"/>
      <c r="B28" s="161"/>
      <c r="C28" s="161"/>
      <c r="D28" s="161"/>
      <c r="E28" s="162"/>
      <c r="F28" s="163"/>
      <c r="G28" s="164"/>
      <c r="H28" s="164"/>
      <c r="J28" s="152"/>
      <c r="K28" s="152"/>
      <c r="L28" s="152"/>
    </row>
    <row r="29" spans="1:12" x14ac:dyDescent="0.3">
      <c r="A29" s="153"/>
      <c r="B29" s="90"/>
      <c r="C29" s="90"/>
      <c r="D29" s="90"/>
      <c r="E29" s="91"/>
      <c r="F29" s="154"/>
      <c r="G29" s="155"/>
      <c r="H29" s="155"/>
      <c r="J29" s="156"/>
      <c r="K29" s="157"/>
      <c r="L29" s="158"/>
    </row>
    <row r="30" spans="1:12" x14ac:dyDescent="0.3">
      <c r="A30" s="148"/>
      <c r="B30" s="149"/>
      <c r="C30" s="149"/>
      <c r="D30" s="149"/>
      <c r="E30" s="150"/>
      <c r="F30" s="159"/>
      <c r="G30" s="151"/>
      <c r="H30" s="151"/>
      <c r="J30" s="152"/>
      <c r="K30" s="152"/>
      <c r="L30" s="152"/>
    </row>
    <row r="31" spans="1:12" x14ac:dyDescent="0.3">
      <c r="A31" s="153"/>
      <c r="B31" s="90"/>
      <c r="C31" s="90"/>
      <c r="D31" s="90"/>
      <c r="E31" s="91"/>
      <c r="F31" s="154"/>
      <c r="G31" s="155"/>
      <c r="H31" s="155"/>
      <c r="J31" s="156"/>
      <c r="K31" s="157"/>
      <c r="L31" s="158"/>
    </row>
    <row r="32" spans="1:12" x14ac:dyDescent="0.3">
      <c r="A32" s="148"/>
      <c r="B32" s="149"/>
      <c r="C32" s="149"/>
      <c r="D32" s="149"/>
      <c r="E32" s="150"/>
      <c r="F32" s="159"/>
      <c r="G32" s="151"/>
      <c r="H32" s="151"/>
      <c r="J32" s="152"/>
      <c r="K32" s="152"/>
      <c r="L32" s="152"/>
    </row>
    <row r="33" spans="1:12" x14ac:dyDescent="0.3">
      <c r="A33" s="153"/>
      <c r="B33" s="90"/>
      <c r="C33" s="90"/>
      <c r="D33" s="90"/>
      <c r="E33" s="91"/>
      <c r="F33" s="154"/>
      <c r="G33" s="155"/>
      <c r="H33" s="155"/>
      <c r="J33" s="156"/>
      <c r="K33" s="157"/>
      <c r="L33" s="158"/>
    </row>
    <row r="34" spans="1:12" x14ac:dyDescent="0.3">
      <c r="A34" s="160"/>
      <c r="B34" s="161"/>
      <c r="C34" s="161"/>
      <c r="D34" s="161"/>
      <c r="E34" s="162"/>
      <c r="F34" s="163"/>
      <c r="G34" s="164"/>
      <c r="H34" s="164"/>
      <c r="J34" s="152"/>
      <c r="K34" s="152"/>
      <c r="L34" s="152"/>
    </row>
    <row r="35" spans="1:12" x14ac:dyDescent="0.3">
      <c r="A35" s="153"/>
      <c r="B35" s="90"/>
      <c r="C35" s="90"/>
      <c r="D35" s="90"/>
      <c r="E35" s="91"/>
      <c r="F35" s="154"/>
      <c r="G35" s="155"/>
      <c r="H35" s="155"/>
      <c r="J35" s="156"/>
      <c r="K35" s="157"/>
      <c r="L35" s="158"/>
    </row>
    <row r="36" spans="1:12" x14ac:dyDescent="0.3">
      <c r="A36" s="148"/>
      <c r="B36" s="149"/>
      <c r="C36" s="149"/>
      <c r="D36" s="149"/>
      <c r="E36" s="150"/>
      <c r="F36" s="159"/>
      <c r="G36" s="151"/>
      <c r="H36" s="151"/>
      <c r="J36" s="152"/>
      <c r="K36" s="152"/>
      <c r="L36" s="152"/>
    </row>
    <row r="37" spans="1:12" x14ac:dyDescent="0.3">
      <c r="A37" s="153"/>
      <c r="B37" s="90"/>
      <c r="C37" s="90"/>
      <c r="D37" s="90"/>
      <c r="E37" s="91"/>
      <c r="F37" s="154"/>
      <c r="G37" s="155"/>
      <c r="H37" s="155"/>
      <c r="J37" s="156"/>
      <c r="K37" s="157"/>
      <c r="L37" s="158"/>
    </row>
    <row r="38" spans="1:12" x14ac:dyDescent="0.3">
      <c r="A38" s="160"/>
      <c r="B38" s="161"/>
      <c r="C38" s="161"/>
      <c r="D38" s="161"/>
      <c r="E38" s="162"/>
      <c r="F38" s="163"/>
      <c r="G38" s="164"/>
      <c r="H38" s="164"/>
      <c r="J38" s="152"/>
      <c r="K38" s="152"/>
      <c r="L38" s="152"/>
    </row>
    <row r="39" spans="1:12" x14ac:dyDescent="0.3">
      <c r="A39" s="153"/>
      <c r="B39" s="90"/>
      <c r="C39" s="90"/>
      <c r="D39" s="90"/>
      <c r="E39" s="91"/>
      <c r="F39" s="154"/>
      <c r="G39" s="155"/>
      <c r="H39" s="155"/>
      <c r="J39" s="156"/>
      <c r="K39" s="157"/>
      <c r="L39" s="158"/>
    </row>
    <row r="40" spans="1:12" x14ac:dyDescent="0.3">
      <c r="A40" s="148"/>
      <c r="B40" s="149"/>
      <c r="C40" s="149"/>
      <c r="D40" s="149"/>
      <c r="E40" s="150"/>
      <c r="F40" s="159"/>
      <c r="G40" s="151"/>
      <c r="H40" s="151"/>
      <c r="J40" s="152"/>
      <c r="K40" s="152"/>
      <c r="L40" s="152"/>
    </row>
    <row r="41" spans="1:12" x14ac:dyDescent="0.3">
      <c r="A41" s="153"/>
      <c r="B41" s="90"/>
      <c r="C41" s="90"/>
      <c r="D41" s="90"/>
      <c r="E41" s="91"/>
      <c r="F41" s="154"/>
      <c r="G41" s="155"/>
      <c r="H41" s="155"/>
      <c r="J41" s="156"/>
      <c r="K41" s="157"/>
      <c r="L41" s="158"/>
    </row>
    <row r="42" spans="1:12" x14ac:dyDescent="0.3">
      <c r="A42" s="148"/>
      <c r="B42" s="149"/>
      <c r="C42" s="149"/>
      <c r="D42" s="149"/>
      <c r="E42" s="150"/>
      <c r="F42" s="159"/>
      <c r="G42" s="151"/>
      <c r="H42" s="151"/>
      <c r="J42" s="152"/>
      <c r="K42" s="152"/>
      <c r="L42" s="152"/>
    </row>
    <row r="43" spans="1:12" x14ac:dyDescent="0.3">
      <c r="A43" s="153"/>
      <c r="B43" s="90"/>
      <c r="C43" s="90"/>
      <c r="D43" s="90"/>
      <c r="E43" s="91"/>
      <c r="F43" s="154"/>
      <c r="G43" s="155"/>
      <c r="H43" s="155"/>
      <c r="J43" s="156"/>
      <c r="K43" s="157"/>
      <c r="L43" s="158"/>
    </row>
    <row r="44" spans="1:12" x14ac:dyDescent="0.3">
      <c r="A44" s="160"/>
      <c r="B44" s="161"/>
      <c r="C44" s="161"/>
      <c r="D44" s="161"/>
      <c r="E44" s="162"/>
      <c r="F44" s="163"/>
      <c r="G44" s="164"/>
      <c r="H44" s="164"/>
      <c r="J44" s="152"/>
      <c r="K44" s="152"/>
      <c r="L44" s="152"/>
    </row>
    <row r="45" spans="1:12" x14ac:dyDescent="0.3">
      <c r="A45" s="153"/>
      <c r="B45" s="90"/>
      <c r="C45" s="90"/>
      <c r="D45" s="90"/>
      <c r="E45" s="91"/>
      <c r="F45" s="154"/>
      <c r="G45" s="155"/>
      <c r="H45" s="155"/>
      <c r="J45" s="156"/>
      <c r="K45" s="157"/>
      <c r="L45" s="158"/>
    </row>
    <row r="46" spans="1:12" x14ac:dyDescent="0.3">
      <c r="A46" s="148"/>
      <c r="B46" s="149"/>
      <c r="C46" s="149"/>
      <c r="D46" s="149"/>
      <c r="E46" s="150"/>
      <c r="F46" s="159"/>
      <c r="G46" s="151"/>
      <c r="H46" s="151"/>
      <c r="J46" s="152"/>
      <c r="K46" s="152"/>
      <c r="L46" s="152"/>
    </row>
    <row r="47" spans="1:12" x14ac:dyDescent="0.3">
      <c r="A47" s="153"/>
      <c r="B47" s="90"/>
      <c r="C47" s="90"/>
      <c r="D47" s="90"/>
      <c r="E47" s="91"/>
      <c r="F47" s="154"/>
      <c r="G47" s="155"/>
      <c r="H47" s="155"/>
      <c r="J47" s="156"/>
      <c r="K47" s="157"/>
      <c r="L47" s="158"/>
    </row>
    <row r="48" spans="1:12" x14ac:dyDescent="0.3">
      <c r="A48" s="148"/>
      <c r="B48" s="149"/>
      <c r="C48" s="149"/>
      <c r="D48" s="149"/>
      <c r="E48" s="150"/>
      <c r="F48" s="159"/>
      <c r="G48" s="151"/>
      <c r="H48" s="151"/>
      <c r="J48" s="152"/>
      <c r="K48" s="152"/>
      <c r="L48" s="152"/>
    </row>
    <row r="49" spans="1:12" x14ac:dyDescent="0.3">
      <c r="A49" s="153"/>
      <c r="B49" s="90"/>
      <c r="C49" s="90"/>
      <c r="D49" s="90"/>
      <c r="E49" s="91"/>
      <c r="F49" s="154"/>
      <c r="G49" s="155"/>
      <c r="H49" s="155"/>
      <c r="J49" s="156"/>
      <c r="K49" s="157"/>
      <c r="L49" s="158"/>
    </row>
    <row r="50" spans="1:12" x14ac:dyDescent="0.3">
      <c r="A50" s="160"/>
      <c r="B50" s="161"/>
      <c r="C50" s="161"/>
      <c r="D50" s="161"/>
      <c r="E50" s="162"/>
      <c r="F50" s="163"/>
      <c r="G50" s="164"/>
      <c r="H50" s="164"/>
      <c r="J50" s="152"/>
      <c r="K50" s="152"/>
      <c r="L50" s="152"/>
    </row>
    <row r="51" spans="1:12" x14ac:dyDescent="0.3">
      <c r="A51" s="153"/>
      <c r="B51" s="90"/>
      <c r="C51" s="90"/>
      <c r="D51" s="90"/>
      <c r="E51" s="91"/>
      <c r="F51" s="154"/>
      <c r="G51" s="155"/>
      <c r="H51" s="155"/>
      <c r="J51" s="156"/>
      <c r="K51" s="157"/>
      <c r="L51" s="158"/>
    </row>
    <row r="52" spans="1:12" x14ac:dyDescent="0.3">
      <c r="A52" s="148"/>
      <c r="B52" s="149"/>
      <c r="C52" s="149"/>
      <c r="D52" s="149"/>
      <c r="E52" s="150"/>
      <c r="F52" s="159"/>
      <c r="G52" s="151"/>
      <c r="H52" s="151"/>
      <c r="J52" s="152"/>
      <c r="K52" s="152"/>
      <c r="L52" s="152"/>
    </row>
    <row r="53" spans="1:12" x14ac:dyDescent="0.3">
      <c r="A53" s="153"/>
      <c r="B53" s="90"/>
      <c r="C53" s="90"/>
      <c r="D53" s="90"/>
      <c r="E53" s="91"/>
      <c r="F53" s="154"/>
      <c r="G53" s="155"/>
      <c r="H53" s="155"/>
      <c r="J53" s="156"/>
      <c r="K53" s="157"/>
      <c r="L53" s="158"/>
    </row>
    <row r="54" spans="1:12" x14ac:dyDescent="0.3">
      <c r="A54" s="148"/>
      <c r="B54" s="149"/>
      <c r="C54" s="149"/>
      <c r="D54" s="149"/>
      <c r="E54" s="150"/>
      <c r="F54" s="159"/>
      <c r="G54" s="151"/>
      <c r="H54" s="151"/>
      <c r="J54" s="152"/>
      <c r="K54" s="152"/>
      <c r="L54" s="152"/>
    </row>
    <row r="55" spans="1:12" x14ac:dyDescent="0.3">
      <c r="A55" s="153"/>
      <c r="B55" s="90"/>
      <c r="C55" s="90"/>
      <c r="D55" s="90"/>
      <c r="E55" s="91"/>
      <c r="F55" s="154"/>
      <c r="G55" s="155"/>
      <c r="H55" s="155"/>
      <c r="J55" s="156"/>
      <c r="K55" s="157"/>
      <c r="L55" s="158"/>
    </row>
    <row r="56" spans="1:12" x14ac:dyDescent="0.3">
      <c r="A56" s="160"/>
      <c r="B56" s="161"/>
      <c r="C56" s="161"/>
      <c r="D56" s="161"/>
      <c r="E56" s="162"/>
      <c r="F56" s="163"/>
      <c r="G56" s="164"/>
      <c r="H56" s="164"/>
      <c r="J56" s="152"/>
      <c r="K56" s="152"/>
      <c r="L56" s="152"/>
    </row>
    <row r="57" spans="1:12" x14ac:dyDescent="0.3">
      <c r="A57" s="153"/>
      <c r="B57" s="90"/>
      <c r="C57" s="90"/>
      <c r="D57" s="90"/>
      <c r="E57" s="91"/>
      <c r="F57" s="154"/>
      <c r="G57" s="155"/>
      <c r="H57" s="155"/>
      <c r="J57" s="156"/>
      <c r="K57" s="157"/>
      <c r="L57" s="158"/>
    </row>
    <row r="58" spans="1:12" x14ac:dyDescent="0.3">
      <c r="A58" s="153"/>
      <c r="B58" s="166"/>
      <c r="C58" s="166"/>
      <c r="D58" s="166"/>
      <c r="E58" s="91"/>
      <c r="F58" s="154"/>
      <c r="G58" s="169"/>
      <c r="H58" s="155"/>
      <c r="J58" s="152"/>
      <c r="K58" s="152"/>
      <c r="L58" s="152"/>
    </row>
    <row r="59" spans="1:12" x14ac:dyDescent="0.3">
      <c r="A59" s="153"/>
      <c r="B59" s="90"/>
      <c r="C59" s="90"/>
      <c r="D59" s="90"/>
      <c r="E59" s="91"/>
      <c r="F59" s="154"/>
      <c r="G59" s="155"/>
      <c r="H59" s="155"/>
      <c r="J59" s="156"/>
      <c r="K59" s="157"/>
      <c r="L59" s="158"/>
    </row>
    <row r="60" spans="1:12" x14ac:dyDescent="0.3">
      <c r="A60" s="160"/>
      <c r="B60" s="161"/>
      <c r="C60" s="161"/>
      <c r="D60" s="161"/>
      <c r="E60" s="164"/>
      <c r="F60" s="163"/>
      <c r="G60" s="164"/>
      <c r="H60" s="164"/>
      <c r="J60" s="152"/>
      <c r="K60" s="152"/>
      <c r="L60" s="152"/>
    </row>
    <row r="61" spans="1:12" x14ac:dyDescent="0.3">
      <c r="A61" s="153"/>
      <c r="B61" s="90"/>
      <c r="C61" s="90"/>
      <c r="D61" s="90"/>
      <c r="E61" s="167"/>
      <c r="F61" s="168"/>
      <c r="G61" s="169"/>
      <c r="H61" s="169"/>
      <c r="J61" s="156"/>
      <c r="K61" s="157"/>
      <c r="L61" s="158"/>
    </row>
    <row r="62" spans="1:12" x14ac:dyDescent="0.3">
      <c r="A62" s="148"/>
      <c r="B62" s="161"/>
      <c r="C62" s="161"/>
      <c r="D62" s="161"/>
      <c r="E62" s="150"/>
      <c r="F62" s="159"/>
      <c r="G62" s="164"/>
      <c r="H62" s="151"/>
      <c r="J62" s="152"/>
      <c r="K62" s="152"/>
      <c r="L62" s="152"/>
    </row>
    <row r="63" spans="1:12" x14ac:dyDescent="0.3">
      <c r="A63" s="153"/>
      <c r="B63" s="166"/>
      <c r="C63" s="166"/>
      <c r="D63" s="166"/>
      <c r="E63" s="167"/>
      <c r="F63" s="154"/>
      <c r="G63" s="169"/>
      <c r="H63" s="155"/>
      <c r="J63" s="156"/>
      <c r="K63" s="157"/>
      <c r="L63" s="158"/>
    </row>
    <row r="64" spans="1:12" x14ac:dyDescent="0.3">
      <c r="A64" s="153"/>
      <c r="B64" s="90"/>
      <c r="C64" s="90"/>
      <c r="D64" s="90"/>
      <c r="E64" s="91"/>
      <c r="F64" s="154"/>
      <c r="G64" s="155"/>
      <c r="H64" s="151"/>
      <c r="J64" s="152"/>
      <c r="K64" s="152"/>
      <c r="L64" s="152"/>
    </row>
    <row r="65" spans="1:12" x14ac:dyDescent="0.3">
      <c r="A65" s="165"/>
      <c r="B65" s="166"/>
      <c r="C65" s="166"/>
      <c r="D65" s="166"/>
      <c r="E65" s="167"/>
      <c r="F65" s="168"/>
      <c r="G65" s="167"/>
      <c r="H65" s="167"/>
      <c r="J65" s="156"/>
      <c r="K65" s="157"/>
      <c r="L65" s="158"/>
    </row>
    <row r="66" spans="1:12" x14ac:dyDescent="0.3">
      <c r="A66" s="153"/>
      <c r="B66" s="166"/>
      <c r="C66" s="166"/>
      <c r="D66" s="166"/>
      <c r="E66" s="167"/>
      <c r="F66" s="168"/>
      <c r="G66" s="155"/>
      <c r="H66" s="167"/>
      <c r="J66" s="152"/>
      <c r="K66" s="152"/>
      <c r="L66" s="152"/>
    </row>
    <row r="67" spans="1:12" x14ac:dyDescent="0.3">
      <c r="A67" s="153"/>
      <c r="B67" s="166"/>
      <c r="C67" s="166"/>
      <c r="D67" s="166"/>
      <c r="E67" s="91"/>
      <c r="F67" s="168"/>
      <c r="G67" s="167"/>
      <c r="H67" s="167"/>
      <c r="J67" s="156"/>
      <c r="K67" s="157"/>
      <c r="L67" s="158"/>
    </row>
    <row r="68" spans="1:12" x14ac:dyDescent="0.3">
      <c r="A68" s="165"/>
      <c r="B68" s="166"/>
      <c r="C68" s="166"/>
      <c r="D68" s="166"/>
      <c r="E68" s="167"/>
      <c r="F68" s="168"/>
      <c r="G68" s="167"/>
      <c r="H68" s="167"/>
      <c r="J68" s="152"/>
      <c r="K68" s="152"/>
      <c r="L68" s="152"/>
    </row>
    <row r="69" spans="1:12" x14ac:dyDescent="0.3">
      <c r="A69" s="153"/>
      <c r="B69" s="90"/>
      <c r="C69" s="90"/>
      <c r="D69" s="90"/>
      <c r="E69" s="91"/>
      <c r="F69" s="154"/>
      <c r="G69" s="155"/>
      <c r="H69" s="155"/>
      <c r="J69" s="156"/>
      <c r="K69" s="157"/>
      <c r="L69" s="158"/>
    </row>
    <row r="70" spans="1:12" x14ac:dyDescent="0.3">
      <c r="A70" s="153"/>
      <c r="B70" s="90"/>
      <c r="C70" s="90"/>
      <c r="D70" s="90"/>
      <c r="E70" s="91"/>
      <c r="F70" s="91"/>
      <c r="G70" s="155"/>
      <c r="H70" s="155"/>
      <c r="J70" s="152"/>
      <c r="K70" s="152"/>
      <c r="L70" s="152"/>
    </row>
    <row r="71" spans="1:12" s="170" customFormat="1" x14ac:dyDescent="0.3">
      <c r="A71" s="153"/>
      <c r="B71" s="90"/>
      <c r="C71" s="90"/>
      <c r="D71" s="90"/>
      <c r="E71" s="91"/>
      <c r="F71" s="154"/>
      <c r="G71" s="155"/>
      <c r="H71" s="155"/>
      <c r="J71" s="156"/>
      <c r="K71" s="157"/>
      <c r="L71" s="158"/>
    </row>
    <row r="72" spans="1:12" x14ac:dyDescent="0.3">
      <c r="A72" s="153"/>
      <c r="B72" s="90"/>
      <c r="C72" s="90"/>
      <c r="D72" s="90"/>
      <c r="E72" s="91"/>
      <c r="F72" s="91"/>
      <c r="G72" s="155"/>
      <c r="H72" s="155"/>
      <c r="J72" s="152"/>
      <c r="K72" s="152"/>
      <c r="L72" s="152"/>
    </row>
    <row r="73" spans="1:12" x14ac:dyDescent="0.3">
      <c r="A73" s="153"/>
      <c r="B73" s="90"/>
      <c r="C73" s="90"/>
      <c r="D73" s="90"/>
      <c r="E73" s="91"/>
      <c r="F73" s="91"/>
      <c r="G73" s="155"/>
      <c r="H73" s="155"/>
      <c r="J73" s="156"/>
      <c r="K73" s="157"/>
      <c r="L73" s="158"/>
    </row>
    <row r="74" spans="1:12" x14ac:dyDescent="0.3">
      <c r="A74" s="165"/>
      <c r="B74" s="166"/>
      <c r="C74" s="166"/>
      <c r="D74" s="166"/>
      <c r="E74" s="167"/>
      <c r="F74" s="167"/>
      <c r="G74" s="169"/>
      <c r="H74" s="169"/>
      <c r="J74" s="152"/>
      <c r="K74" s="152"/>
      <c r="L74" s="152"/>
    </row>
    <row r="75" spans="1:12" x14ac:dyDescent="0.3">
      <c r="A75" s="165" t="s">
        <v>82</v>
      </c>
      <c r="B75" s="166">
        <f>SUBTOTAL(109,B6:B74)</f>
        <v>615000</v>
      </c>
      <c r="C75" s="166">
        <f>SUBTOTAL(109,C6:C74)</f>
        <v>30750</v>
      </c>
      <c r="D75" s="166">
        <f>SUM(Table158[[#This Row],[Contract Value
--AED--]:[Vat 5%
--AED--]])</f>
        <v>645750</v>
      </c>
      <c r="E75" s="167">
        <f>E7</f>
        <v>645750</v>
      </c>
      <c r="F75" s="168">
        <f>Table158[[#This Row],[Amount Invoiced]]/Table158[[#This Row],[Total Value 
--AED--]]</f>
        <v>1</v>
      </c>
      <c r="G75" s="169">
        <f>G7</f>
        <v>615000</v>
      </c>
      <c r="H75" s="169">
        <f>Table158[[#This Row],[Amount Invoiced]]-Table158[[#This Row],[Payment]]</f>
        <v>30750</v>
      </c>
      <c r="J75" s="156"/>
      <c r="K75" s="157"/>
      <c r="L75" s="158"/>
    </row>
    <row r="76" spans="1:12" x14ac:dyDescent="0.3">
      <c r="J76" s="100"/>
    </row>
    <row r="77" spans="1:12" x14ac:dyDescent="0.3">
      <c r="D77" s="100"/>
    </row>
    <row r="79" spans="1:12" x14ac:dyDescent="0.3">
      <c r="E79" s="11"/>
    </row>
    <row r="80" spans="1:12" x14ac:dyDescent="0.3">
      <c r="E80" s="11"/>
    </row>
    <row r="81" spans="5:5" x14ac:dyDescent="0.3">
      <c r="E81" s="11"/>
    </row>
    <row r="82" spans="5:5" x14ac:dyDescent="0.3">
      <c r="E82" s="11"/>
    </row>
    <row r="83" spans="5:5" x14ac:dyDescent="0.3">
      <c r="E83" s="11"/>
    </row>
  </sheetData>
  <autoFilter ref="J5:L74" xr:uid="{73F02CC7-D1F1-4EA6-B3D5-08FF7DAE8D27}"/>
  <pageMargins left="0.7" right="0.7" top="0.75" bottom="0.75" header="0.3" footer="0.3"/>
  <pageSetup paperSize="9" scale="51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563-7678-4B63-8275-AD2643366E0F}">
  <dimension ref="A1:B10"/>
  <sheetViews>
    <sheetView workbookViewId="0">
      <selection activeCell="A6" sqref="A6:B6"/>
    </sheetView>
  </sheetViews>
  <sheetFormatPr defaultRowHeight="14.4" x14ac:dyDescent="0.3"/>
  <cols>
    <col min="1" max="1" width="32.33203125" customWidth="1"/>
    <col min="2" max="2" width="24.44140625" customWidth="1"/>
  </cols>
  <sheetData>
    <row r="1" spans="1:2" ht="17.399999999999999" x14ac:dyDescent="0.35">
      <c r="A1" s="5" t="s">
        <v>202</v>
      </c>
    </row>
    <row r="3" spans="1:2" x14ac:dyDescent="0.3">
      <c r="A3" t="s">
        <v>201</v>
      </c>
      <c r="B3" t="s">
        <v>32</v>
      </c>
    </row>
    <row r="4" spans="1:2" x14ac:dyDescent="0.3">
      <c r="A4" s="3" t="s">
        <v>196</v>
      </c>
      <c r="B4" s="6">
        <v>179425296.75</v>
      </c>
    </row>
    <row r="5" spans="1:2" x14ac:dyDescent="0.3">
      <c r="A5" s="3" t="s">
        <v>195</v>
      </c>
      <c r="B5" s="6">
        <v>71000000</v>
      </c>
    </row>
    <row r="6" spans="1:2" x14ac:dyDescent="0.3">
      <c r="A6" s="204" t="s">
        <v>44</v>
      </c>
      <c r="B6" s="205">
        <v>250425296.75</v>
      </c>
    </row>
    <row r="7" spans="1:2" x14ac:dyDescent="0.3">
      <c r="A7" s="3" t="s">
        <v>197</v>
      </c>
      <c r="B7" s="6">
        <v>-61114589.647619046</v>
      </c>
    </row>
    <row r="8" spans="1:2" x14ac:dyDescent="0.3">
      <c r="A8" s="3" t="s">
        <v>198</v>
      </c>
      <c r="B8" s="6">
        <v>-113501473</v>
      </c>
    </row>
    <row r="9" spans="1:2" x14ac:dyDescent="0.3">
      <c r="A9" s="3" t="s">
        <v>199</v>
      </c>
      <c r="B9" s="6">
        <v>-53137784.719999999</v>
      </c>
    </row>
    <row r="10" spans="1:2" ht="17.399999999999999" x14ac:dyDescent="0.35">
      <c r="A10" s="206" t="s">
        <v>200</v>
      </c>
      <c r="B10" s="207">
        <v>22671449.382380962</v>
      </c>
    </row>
  </sheetData>
  <pageMargins left="0.70866141732283472" right="0.70866141732283472" top="0.74803149606299213" bottom="0.74803149606299213" header="0.31496062992125984" footer="0.31496062992125984"/>
  <pageSetup scale="20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9046-196B-46B1-ADDA-B2FACE631295}">
  <sheetPr codeName="Sheet5"/>
  <dimension ref="A1:N44"/>
  <sheetViews>
    <sheetView showGridLines="0" zoomScaleNormal="100" zoomScaleSheetLayoutView="100" workbookViewId="0">
      <pane ySplit="4" topLeftCell="A21" activePane="bottomLeft" state="frozen"/>
      <selection activeCell="H7" sqref="H7"/>
      <selection pane="bottomLeft" activeCell="H7" sqref="H7"/>
    </sheetView>
  </sheetViews>
  <sheetFormatPr defaultColWidth="8.88671875" defaultRowHeight="14.4" x14ac:dyDescent="0.3"/>
  <cols>
    <col min="1" max="1" width="55.6640625" style="39" customWidth="1"/>
    <col min="2" max="4" width="12.6640625" style="39" customWidth="1"/>
    <col min="5" max="5" width="40.88671875" style="39" customWidth="1"/>
    <col min="6" max="6" width="10.44140625" style="39" customWidth="1"/>
    <col min="7" max="7" width="12.6640625" style="39" customWidth="1"/>
    <col min="8" max="8" width="11.33203125" style="39" bestFit="1" customWidth="1"/>
    <col min="9" max="9" width="12.88671875" style="39" bestFit="1" customWidth="1"/>
    <col min="10" max="10" width="8.88671875" style="39"/>
    <col min="11" max="11" width="11.5546875" style="39" customWidth="1"/>
    <col min="12" max="12" width="9.33203125" style="39" bestFit="1" customWidth="1"/>
    <col min="13" max="16384" width="8.88671875" style="39"/>
  </cols>
  <sheetData>
    <row r="1" spans="1:14" ht="19.95" customHeight="1" x14ac:dyDescent="0.3">
      <c r="A1" s="45" t="s">
        <v>76</v>
      </c>
      <c r="H1" s="76">
        <v>45610</v>
      </c>
    </row>
    <row r="2" spans="1:14" ht="19.95" customHeight="1" x14ac:dyDescent="0.3">
      <c r="A2" s="47" t="str">
        <f>_xlfn.CONCAT("Statement of Account as of ",TEXT(H1,"MMMMMMM DD, YYYY"))</f>
        <v>Statement of Account as of November 14, 2024</v>
      </c>
    </row>
    <row r="3" spans="1:14" ht="19.95" customHeight="1" x14ac:dyDescent="0.3"/>
    <row r="4" spans="1:14" s="40" customFormat="1" ht="30" customHeight="1" x14ac:dyDescent="0.3">
      <c r="A4" s="71" t="s">
        <v>51</v>
      </c>
      <c r="B4" s="72" t="s">
        <v>52</v>
      </c>
      <c r="C4" s="72" t="s">
        <v>83</v>
      </c>
      <c r="D4" s="96" t="s">
        <v>57</v>
      </c>
      <c r="E4" s="88" t="s">
        <v>8</v>
      </c>
      <c r="F4" s="88" t="s">
        <v>84</v>
      </c>
      <c r="G4" s="39"/>
    </row>
    <row r="5" spans="1:14" s="40" customFormat="1" ht="19.95" customHeight="1" x14ac:dyDescent="0.3">
      <c r="A5" s="70" t="s">
        <v>85</v>
      </c>
      <c r="B5" s="90">
        <v>509250</v>
      </c>
      <c r="C5" s="91"/>
      <c r="D5" s="97">
        <f>B5-C5</f>
        <v>509250</v>
      </c>
      <c r="E5" s="93" t="s">
        <v>28</v>
      </c>
      <c r="F5" s="82" t="s">
        <v>28</v>
      </c>
      <c r="G5" s="39"/>
    </row>
    <row r="6" spans="1:14" s="40" customFormat="1" ht="19.95" customHeight="1" x14ac:dyDescent="0.3">
      <c r="A6" s="70" t="s">
        <v>86</v>
      </c>
      <c r="B6" s="91"/>
      <c r="C6" s="90">
        <v>509250</v>
      </c>
      <c r="D6" s="97">
        <f>D5+'14.Nov.2024'!$B6-'14.Nov.2024'!$C6</f>
        <v>0</v>
      </c>
      <c r="E6" s="94" t="s">
        <v>28</v>
      </c>
      <c r="F6" s="82" t="s">
        <v>28</v>
      </c>
      <c r="G6" s="39"/>
      <c r="H6" s="39"/>
      <c r="I6" s="39"/>
      <c r="J6" s="39"/>
      <c r="K6" s="39"/>
      <c r="L6" s="39"/>
      <c r="M6" s="39"/>
      <c r="N6" s="39"/>
    </row>
    <row r="7" spans="1:14" s="40" customFormat="1" ht="19.95" customHeight="1" x14ac:dyDescent="0.3">
      <c r="A7" s="70" t="s">
        <v>85</v>
      </c>
      <c r="B7" s="91">
        <v>509250</v>
      </c>
      <c r="C7" s="90"/>
      <c r="D7" s="97">
        <f>D6+'14.Nov.2024'!$B7-'14.Nov.2024'!$C7</f>
        <v>509250</v>
      </c>
      <c r="E7" s="94" t="s">
        <v>28</v>
      </c>
      <c r="F7" s="82" t="s">
        <v>28</v>
      </c>
      <c r="G7" s="39"/>
      <c r="H7" s="62">
        <v>509250</v>
      </c>
      <c r="I7" s="63" t="s">
        <v>87</v>
      </c>
      <c r="J7" s="39"/>
      <c r="K7" s="39"/>
      <c r="L7" s="39"/>
      <c r="M7" s="39"/>
      <c r="N7" s="39"/>
    </row>
    <row r="8" spans="1:14" s="40" customFormat="1" ht="19.95" customHeight="1" x14ac:dyDescent="0.3">
      <c r="A8" s="70" t="s">
        <v>86</v>
      </c>
      <c r="B8" s="91"/>
      <c r="C8" s="90">
        <v>509250</v>
      </c>
      <c r="D8" s="97">
        <f>D7+'14.Nov.2024'!$B8-'14.Nov.2024'!$C8</f>
        <v>0</v>
      </c>
      <c r="E8" s="94" t="s">
        <v>28</v>
      </c>
      <c r="F8" s="82" t="s">
        <v>28</v>
      </c>
      <c r="G8" s="39"/>
      <c r="H8" s="63">
        <v>135800.70000000001</v>
      </c>
      <c r="I8" s="63" t="s">
        <v>88</v>
      </c>
      <c r="J8" s="27" t="s">
        <v>89</v>
      </c>
      <c r="K8" s="27" t="s">
        <v>90</v>
      </c>
      <c r="L8" s="33" t="s">
        <v>91</v>
      </c>
      <c r="M8" s="27" t="s">
        <v>44</v>
      </c>
      <c r="N8" s="39"/>
    </row>
    <row r="9" spans="1:14" s="40" customFormat="1" ht="19.95" customHeight="1" x14ac:dyDescent="0.3">
      <c r="A9" s="70" t="s">
        <v>92</v>
      </c>
      <c r="B9" s="91">
        <v>135800.70000000001</v>
      </c>
      <c r="C9" s="90"/>
      <c r="D9" s="97">
        <f>D8+'14.Nov.2024'!$B9-'14.Nov.2024'!$C9</f>
        <v>135800.70000000001</v>
      </c>
      <c r="E9" s="94" t="s">
        <v>28</v>
      </c>
      <c r="F9" s="82" t="s">
        <v>28</v>
      </c>
      <c r="G9" s="39"/>
      <c r="H9" s="63">
        <v>135799.65</v>
      </c>
      <c r="I9" s="63" t="s">
        <v>93</v>
      </c>
      <c r="J9" s="28">
        <f>485000</f>
        <v>485000</v>
      </c>
      <c r="K9" s="28">
        <v>970000</v>
      </c>
      <c r="L9" s="28">
        <v>970000</v>
      </c>
      <c r="M9" s="27">
        <f>SUM(J9:L9)</f>
        <v>2425000</v>
      </c>
      <c r="N9" s="39"/>
    </row>
    <row r="10" spans="1:14" s="40" customFormat="1" ht="19.95" customHeight="1" thickBot="1" x14ac:dyDescent="0.35">
      <c r="A10" s="70" t="s">
        <v>94</v>
      </c>
      <c r="B10" s="91"/>
      <c r="C10" s="90">
        <v>135800.70000000001</v>
      </c>
      <c r="D10" s="97">
        <f>D9+'14.Nov.2024'!$B10-'14.Nov.2024'!$C10</f>
        <v>0</v>
      </c>
      <c r="E10" s="94" t="s">
        <v>28</v>
      </c>
      <c r="F10" s="82" t="s">
        <v>28</v>
      </c>
      <c r="G10" s="39"/>
      <c r="H10" s="63">
        <v>135799.65</v>
      </c>
      <c r="I10" s="63" t="s">
        <v>95</v>
      </c>
      <c r="J10" s="29">
        <f>J9*5%</f>
        <v>24250</v>
      </c>
      <c r="K10" s="29">
        <f>K9*5%</f>
        <v>48500</v>
      </c>
      <c r="L10" s="29">
        <f>L9*5%</f>
        <v>48500</v>
      </c>
      <c r="M10" s="30">
        <f>M9*5%</f>
        <v>121250</v>
      </c>
      <c r="N10" s="39"/>
    </row>
    <row r="11" spans="1:14" s="40" customFormat="1" ht="19.95" customHeight="1" thickTop="1" thickBot="1" x14ac:dyDescent="0.35">
      <c r="A11" s="70" t="s">
        <v>96</v>
      </c>
      <c r="B11" s="91">
        <v>135799.65</v>
      </c>
      <c r="C11" s="90"/>
      <c r="D11" s="97">
        <f>D10+'14.Nov.2024'!$B11-'14.Nov.2024'!$C11</f>
        <v>135799.65</v>
      </c>
      <c r="E11" s="94" t="s">
        <v>28</v>
      </c>
      <c r="F11" s="82" t="s">
        <v>28</v>
      </c>
      <c r="G11" s="39"/>
      <c r="H11" s="62">
        <v>203700</v>
      </c>
      <c r="I11" s="63" t="s">
        <v>97</v>
      </c>
      <c r="J11" s="31">
        <f>J9+J10</f>
        <v>509250</v>
      </c>
      <c r="K11" s="31">
        <f>K9+K10</f>
        <v>1018500</v>
      </c>
      <c r="L11" s="31">
        <f>L9+L10</f>
        <v>1018500</v>
      </c>
      <c r="M11" s="32">
        <f>M9+M10</f>
        <v>2546250</v>
      </c>
      <c r="N11" s="39"/>
    </row>
    <row r="12" spans="1:14" s="40" customFormat="1" ht="19.95" customHeight="1" x14ac:dyDescent="0.3">
      <c r="A12" s="70" t="s">
        <v>98</v>
      </c>
      <c r="B12" s="91"/>
      <c r="C12" s="90">
        <v>135799.65</v>
      </c>
      <c r="D12" s="97">
        <f>D11+'14.Nov.2024'!$B12-'14.Nov.2024'!$C12</f>
        <v>0</v>
      </c>
      <c r="E12" s="94" t="s">
        <v>28</v>
      </c>
      <c r="F12" s="82" t="s">
        <v>28</v>
      </c>
      <c r="G12" s="39"/>
      <c r="H12" s="62">
        <v>203700</v>
      </c>
      <c r="I12" s="63" t="s">
        <v>99</v>
      </c>
      <c r="J12" s="39"/>
      <c r="K12" s="39"/>
      <c r="L12" s="39"/>
      <c r="M12" s="39"/>
      <c r="N12" s="39"/>
    </row>
    <row r="13" spans="1:14" s="40" customFormat="1" ht="19.95" customHeight="1" x14ac:dyDescent="0.3">
      <c r="A13" s="70" t="s">
        <v>100</v>
      </c>
      <c r="B13" s="91">
        <v>135799.65</v>
      </c>
      <c r="C13" s="90"/>
      <c r="D13" s="97">
        <f>D12+'14.Nov.2024'!$B13-'14.Nov.2024'!$C13</f>
        <v>135799.65</v>
      </c>
      <c r="E13" s="94" t="s">
        <v>28</v>
      </c>
      <c r="F13" s="82" t="s">
        <v>28</v>
      </c>
      <c r="G13" s="39"/>
      <c r="H13" s="62">
        <v>203700</v>
      </c>
      <c r="I13" s="63" t="s">
        <v>101</v>
      </c>
      <c r="J13" s="39"/>
      <c r="K13" s="39"/>
      <c r="L13" s="39"/>
      <c r="M13" s="39"/>
      <c r="N13" s="39"/>
    </row>
    <row r="14" spans="1:14" s="40" customFormat="1" ht="19.95" customHeight="1" x14ac:dyDescent="0.3">
      <c r="A14" s="70" t="s">
        <v>102</v>
      </c>
      <c r="B14" s="91"/>
      <c r="C14" s="90">
        <v>135799.65</v>
      </c>
      <c r="D14" s="97">
        <f>D13+'14.Nov.2024'!$B14-'14.Nov.2024'!$C14</f>
        <v>0</v>
      </c>
      <c r="E14" s="94" t="s">
        <v>28</v>
      </c>
      <c r="F14" s="82" t="s">
        <v>28</v>
      </c>
      <c r="G14" s="39"/>
      <c r="H14" s="62">
        <v>203700</v>
      </c>
      <c r="I14" s="63" t="s">
        <v>103</v>
      </c>
      <c r="J14" s="39"/>
      <c r="K14" s="39"/>
      <c r="L14" s="39"/>
      <c r="M14" s="39"/>
      <c r="N14" s="39"/>
    </row>
    <row r="15" spans="1:14" s="40" customFormat="1" ht="19.95" customHeight="1" x14ac:dyDescent="0.3">
      <c r="A15" s="70" t="s">
        <v>104</v>
      </c>
      <c r="B15" s="91">
        <v>203700</v>
      </c>
      <c r="C15" s="90"/>
      <c r="D15" s="97">
        <f>D14+'14.Nov.2024'!$B15-'14.Nov.2024'!$C15</f>
        <v>203700</v>
      </c>
      <c r="E15" s="94" t="s">
        <v>28</v>
      </c>
      <c r="F15" s="82" t="s">
        <v>28</v>
      </c>
      <c r="G15" s="39"/>
      <c r="H15" s="62">
        <v>203700</v>
      </c>
      <c r="I15" s="63" t="s">
        <v>105</v>
      </c>
      <c r="J15" s="39"/>
      <c r="K15" s="39"/>
      <c r="L15" s="39"/>
      <c r="M15" s="39"/>
      <c r="N15" s="39"/>
    </row>
    <row r="16" spans="1:14" s="40" customFormat="1" ht="19.95" customHeight="1" x14ac:dyDescent="0.3">
      <c r="A16" s="70" t="s">
        <v>106</v>
      </c>
      <c r="B16" s="91"/>
      <c r="C16" s="90">
        <v>203700</v>
      </c>
      <c r="D16" s="97">
        <f>D15+'14.Nov.2024'!$B16-'14.Nov.2024'!$C16</f>
        <v>0</v>
      </c>
      <c r="E16" s="94" t="s">
        <v>28</v>
      </c>
      <c r="F16" s="82" t="s">
        <v>28</v>
      </c>
      <c r="G16" s="39"/>
      <c r="H16" s="64">
        <v>203700</v>
      </c>
      <c r="I16" s="65" t="s">
        <v>107</v>
      </c>
      <c r="J16" s="39"/>
      <c r="K16" s="39"/>
      <c r="L16" s="39"/>
      <c r="M16" s="39"/>
      <c r="N16" s="39"/>
    </row>
    <row r="17" spans="1:14" s="40" customFormat="1" ht="19.95" customHeight="1" x14ac:dyDescent="0.3">
      <c r="A17" s="70" t="s">
        <v>108</v>
      </c>
      <c r="B17" s="91">
        <v>203700</v>
      </c>
      <c r="C17" s="90"/>
      <c r="D17" s="97">
        <f>D16+'14.Nov.2024'!$B17-'14.Nov.2024'!$C17</f>
        <v>203700</v>
      </c>
      <c r="E17" s="94" t="s">
        <v>28</v>
      </c>
      <c r="F17" s="82" t="s">
        <v>28</v>
      </c>
      <c r="G17" s="39"/>
      <c r="H17" s="66">
        <v>203700</v>
      </c>
      <c r="I17" s="39" t="s">
        <v>109</v>
      </c>
      <c r="J17" s="39"/>
      <c r="K17" s="39"/>
      <c r="L17" s="39"/>
      <c r="M17" s="39"/>
      <c r="N17" s="39"/>
    </row>
    <row r="18" spans="1:14" s="40" customFormat="1" ht="19.95" customHeight="1" x14ac:dyDescent="0.3">
      <c r="A18" s="70" t="s">
        <v>110</v>
      </c>
      <c r="B18" s="91"/>
      <c r="C18" s="90">
        <v>203700</v>
      </c>
      <c r="D18" s="97">
        <f>D17+'14.Nov.2024'!$B18-'14.Nov.2024'!$C18</f>
        <v>0</v>
      </c>
      <c r="E18" s="94" t="s">
        <v>28</v>
      </c>
      <c r="F18" s="82" t="s">
        <v>28</v>
      </c>
      <c r="G18" s="39"/>
      <c r="H18" s="66">
        <v>203700</v>
      </c>
      <c r="I18" s="39" t="s">
        <v>111</v>
      </c>
      <c r="J18" s="39"/>
      <c r="K18" s="39"/>
      <c r="L18" s="39"/>
      <c r="M18" s="39"/>
      <c r="N18" s="39"/>
    </row>
    <row r="19" spans="1:14" s="40" customFormat="1" ht="19.95" customHeight="1" x14ac:dyDescent="0.3">
      <c r="A19" s="70" t="s">
        <v>112</v>
      </c>
      <c r="B19" s="91">
        <v>203700</v>
      </c>
      <c r="C19" s="90"/>
      <c r="D19" s="97">
        <f>D18+'14.Nov.2024'!$B19-'14.Nov.2024'!$C19</f>
        <v>203700</v>
      </c>
      <c r="E19" s="94" t="s">
        <v>28</v>
      </c>
      <c r="F19" s="82" t="s">
        <v>28</v>
      </c>
      <c r="G19" s="39"/>
      <c r="H19" s="66">
        <f>SUM(H7:H18)</f>
        <v>2546250</v>
      </c>
      <c r="I19" s="67">
        <f>B5-H19+J11+K11+L11-M11</f>
        <v>-2037000</v>
      </c>
      <c r="J19" s="39"/>
      <c r="K19" s="39"/>
      <c r="L19" s="39"/>
      <c r="M19" s="39"/>
      <c r="N19" s="39"/>
    </row>
    <row r="20" spans="1:14" ht="19.95" customHeight="1" x14ac:dyDescent="0.3">
      <c r="A20" s="70" t="s">
        <v>113</v>
      </c>
      <c r="B20" s="91"/>
      <c r="C20" s="90">
        <v>203700</v>
      </c>
      <c r="D20" s="97">
        <f>D19+'14.Nov.2024'!$B20-'14.Nov.2024'!$C20</f>
        <v>0</v>
      </c>
      <c r="E20" s="94" t="s">
        <v>28</v>
      </c>
      <c r="F20" s="82" t="s">
        <v>28</v>
      </c>
    </row>
    <row r="21" spans="1:14" ht="19.95" customHeight="1" x14ac:dyDescent="0.3">
      <c r="A21" s="70" t="s">
        <v>114</v>
      </c>
      <c r="B21" s="91">
        <v>203700</v>
      </c>
      <c r="C21" s="90"/>
      <c r="D21" s="97">
        <f>D20+'14.Nov.2024'!$B21-'14.Nov.2024'!$C21</f>
        <v>203700</v>
      </c>
      <c r="E21" s="94" t="s">
        <v>28</v>
      </c>
      <c r="F21" s="82" t="s">
        <v>28</v>
      </c>
    </row>
    <row r="22" spans="1:14" ht="19.95" customHeight="1" x14ac:dyDescent="0.3">
      <c r="A22" s="70" t="s">
        <v>115</v>
      </c>
      <c r="B22" s="91">
        <v>203700</v>
      </c>
      <c r="C22" s="90"/>
      <c r="D22" s="97">
        <f>D21+'14.Nov.2024'!$B22-'14.Nov.2024'!$C22</f>
        <v>407400</v>
      </c>
      <c r="E22" s="94" t="s">
        <v>28</v>
      </c>
      <c r="F22" s="82" t="s">
        <v>28</v>
      </c>
    </row>
    <row r="23" spans="1:14" ht="19.95" customHeight="1" x14ac:dyDescent="0.3">
      <c r="A23" s="70" t="s">
        <v>116</v>
      </c>
      <c r="B23" s="91">
        <v>20328</v>
      </c>
      <c r="C23" s="90"/>
      <c r="D23" s="97">
        <f>D22+'14.Nov.2024'!$B23-'14.Nov.2024'!$C23</f>
        <v>427728</v>
      </c>
      <c r="E23" s="94" t="s">
        <v>28</v>
      </c>
      <c r="F23" s="82" t="s">
        <v>28</v>
      </c>
    </row>
    <row r="24" spans="1:14" ht="19.95" customHeight="1" x14ac:dyDescent="0.3">
      <c r="A24" s="70" t="s">
        <v>117</v>
      </c>
      <c r="B24" s="91"/>
      <c r="C24" s="90">
        <v>203700</v>
      </c>
      <c r="D24" s="97">
        <f>D23+'14.Nov.2024'!$B24-'14.Nov.2024'!$C24</f>
        <v>224028</v>
      </c>
      <c r="E24" s="94" t="s">
        <v>28</v>
      </c>
      <c r="F24" s="82" t="s">
        <v>28</v>
      </c>
    </row>
    <row r="25" spans="1:14" ht="30" customHeight="1" x14ac:dyDescent="0.3">
      <c r="A25" s="89" t="s">
        <v>118</v>
      </c>
      <c r="B25" s="91"/>
      <c r="C25" s="90">
        <f>224028-C24</f>
        <v>20328</v>
      </c>
      <c r="D25" s="97">
        <f>D24+'14.Nov.2024'!$B25-'14.Nov.2024'!$C25</f>
        <v>203700</v>
      </c>
      <c r="E25" s="94" t="s">
        <v>28</v>
      </c>
      <c r="F25" s="82" t="s">
        <v>28</v>
      </c>
    </row>
    <row r="26" spans="1:14" ht="19.95" customHeight="1" x14ac:dyDescent="0.3">
      <c r="A26" s="70" t="s">
        <v>119</v>
      </c>
      <c r="B26" s="91"/>
      <c r="C26" s="90">
        <v>203700</v>
      </c>
      <c r="D26" s="97">
        <f>D25+'14.Nov.2024'!$B26-'14.Nov.2024'!$C26</f>
        <v>0</v>
      </c>
      <c r="E26" s="94" t="s">
        <v>28</v>
      </c>
      <c r="F26" s="82" t="s">
        <v>28</v>
      </c>
    </row>
    <row r="27" spans="1:14" ht="19.95" customHeight="1" x14ac:dyDescent="0.3">
      <c r="A27" s="70" t="s">
        <v>120</v>
      </c>
      <c r="B27" s="91">
        <v>203700</v>
      </c>
      <c r="C27" s="90"/>
      <c r="D27" s="97">
        <f>D26+'14.Nov.2024'!$B27-'14.Nov.2024'!$C27</f>
        <v>203700</v>
      </c>
      <c r="E27" s="94" t="s">
        <v>28</v>
      </c>
      <c r="F27" s="82" t="s">
        <v>28</v>
      </c>
    </row>
    <row r="28" spans="1:14" ht="19.95" customHeight="1" x14ac:dyDescent="0.3">
      <c r="A28" s="70" t="s">
        <v>121</v>
      </c>
      <c r="B28" s="91"/>
      <c r="C28" s="90">
        <v>203700</v>
      </c>
      <c r="D28" s="97">
        <f>D27+'14.Nov.2024'!$B28-'14.Nov.2024'!$C28</f>
        <v>0</v>
      </c>
      <c r="E28" s="94" t="s">
        <v>28</v>
      </c>
      <c r="F28" s="82" t="s">
        <v>28</v>
      </c>
    </row>
    <row r="29" spans="1:14" ht="19.95" customHeight="1" x14ac:dyDescent="0.3">
      <c r="A29" s="70" t="s">
        <v>122</v>
      </c>
      <c r="B29" s="91">
        <v>203700</v>
      </c>
      <c r="C29" s="90"/>
      <c r="D29" s="97">
        <f>D28+'14.Nov.2024'!$B29-'14.Nov.2024'!$C29</f>
        <v>203700</v>
      </c>
      <c r="E29" s="94" t="s">
        <v>123</v>
      </c>
      <c r="F29" s="82" t="s">
        <v>28</v>
      </c>
    </row>
    <row r="30" spans="1:14" ht="19.95" customHeight="1" x14ac:dyDescent="0.3">
      <c r="A30" s="70" t="s">
        <v>124</v>
      </c>
      <c r="B30" s="91">
        <v>498272.25</v>
      </c>
      <c r="C30" s="90"/>
      <c r="D30" s="97">
        <f>D29+'14.Nov.2024'!$B30-'14.Nov.2024'!$C30</f>
        <v>701972.25</v>
      </c>
      <c r="E30" s="94" t="s">
        <v>125</v>
      </c>
      <c r="F30" s="82" t="s">
        <v>28</v>
      </c>
    </row>
    <row r="31" spans="1:14" ht="19.95" customHeight="1" x14ac:dyDescent="0.3">
      <c r="A31" s="70" t="s">
        <v>126</v>
      </c>
      <c r="B31" s="91">
        <v>280628.25</v>
      </c>
      <c r="C31" s="90"/>
      <c r="D31" s="97">
        <f>D30+'14.Nov.2024'!$B31-'14.Nov.2024'!$C31</f>
        <v>982600.5</v>
      </c>
      <c r="E31" s="94" t="s">
        <v>127</v>
      </c>
      <c r="F31" s="82" t="s">
        <v>28</v>
      </c>
    </row>
    <row r="32" spans="1:14" ht="19.95" customHeight="1" x14ac:dyDescent="0.3">
      <c r="A32" s="70" t="s">
        <v>128</v>
      </c>
      <c r="B32" s="91">
        <v>487683</v>
      </c>
      <c r="C32" s="90"/>
      <c r="D32" s="97">
        <f>D31+'14.Nov.2024'!$B32-'14.Nov.2024'!$C32</f>
        <v>1470283.5</v>
      </c>
      <c r="E32" s="94" t="s">
        <v>129</v>
      </c>
      <c r="F32" s="82" t="s">
        <v>28</v>
      </c>
    </row>
    <row r="33" spans="1:9" ht="19.95" customHeight="1" x14ac:dyDescent="0.3">
      <c r="A33" s="70" t="s">
        <v>130</v>
      </c>
      <c r="B33" s="91">
        <v>390907.65</v>
      </c>
      <c r="C33" s="90"/>
      <c r="D33" s="97">
        <f>D32+'14.Nov.2024'!$B33-'14.Nov.2024'!$C33</f>
        <v>1861191.15</v>
      </c>
      <c r="E33" s="94" t="s">
        <v>131</v>
      </c>
      <c r="F33" s="82" t="s">
        <v>28</v>
      </c>
    </row>
    <row r="34" spans="1:9" ht="30.6" customHeight="1" x14ac:dyDescent="0.3">
      <c r="A34" s="89" t="s">
        <v>132</v>
      </c>
      <c r="B34" s="91"/>
      <c r="C34" s="90">
        <v>976217</v>
      </c>
      <c r="D34" s="97">
        <f>D33+'14.Nov.2024'!$B34-'14.Nov.2024'!$C34</f>
        <v>884974.14999999991</v>
      </c>
      <c r="E34" s="94"/>
      <c r="F34" s="82" t="s">
        <v>28</v>
      </c>
      <c r="H34" s="39">
        <f>280628.25+498272.25+203700</f>
        <v>982600.5</v>
      </c>
      <c r="I34" s="39">
        <f>H34-6384</f>
        <v>976216.5</v>
      </c>
    </row>
    <row r="35" spans="1:9" ht="19.95" customHeight="1" x14ac:dyDescent="0.3">
      <c r="A35" s="70" t="s">
        <v>133</v>
      </c>
      <c r="B35" s="91">
        <v>477215.55</v>
      </c>
      <c r="C35" s="90"/>
      <c r="D35" s="97">
        <f>D34+'14.Nov.2024'!$B35-'14.Nov.2024'!$C35</f>
        <v>1362189.7</v>
      </c>
      <c r="E35" s="94" t="s">
        <v>134</v>
      </c>
      <c r="F35" s="82" t="s">
        <v>28</v>
      </c>
    </row>
    <row r="36" spans="1:9" ht="19.95" customHeight="1" thickBot="1" x14ac:dyDescent="0.35">
      <c r="A36" s="70"/>
      <c r="B36" s="91"/>
      <c r="C36" s="90"/>
      <c r="D36" s="97">
        <f>D35+'14.Nov.2024'!$B36-'14.Nov.2024'!$C36</f>
        <v>1362189.7</v>
      </c>
      <c r="E36" s="94" t="s">
        <v>28</v>
      </c>
      <c r="F36" s="82" t="s">
        <v>28</v>
      </c>
    </row>
    <row r="37" spans="1:9" ht="19.95" customHeight="1" thickTop="1" x14ac:dyDescent="0.3">
      <c r="A37" s="73" t="s">
        <v>44</v>
      </c>
      <c r="B37" s="92">
        <f>SUBTOTAL(9,B5:B36)</f>
        <v>5006834.7</v>
      </c>
      <c r="C37" s="92">
        <f>SUBTOTAL(9,C5:C36)</f>
        <v>3644645</v>
      </c>
      <c r="D37" s="98">
        <f>B37-C37</f>
        <v>1362189.7000000002</v>
      </c>
      <c r="E37" s="95"/>
      <c r="F37" s="87"/>
    </row>
    <row r="38" spans="1:9" x14ac:dyDescent="0.3">
      <c r="A38" s="40"/>
      <c r="B38" s="40"/>
      <c r="C38" s="40"/>
      <c r="D38" s="40"/>
    </row>
    <row r="39" spans="1:9" x14ac:dyDescent="0.3">
      <c r="A39" s="41" t="s">
        <v>29</v>
      </c>
      <c r="B39" s="60"/>
      <c r="C39" s="60">
        <f>'14.Nov.2024'!$C$37/'14.Nov.2024'!$B$37</f>
        <v>0.7279339579555123</v>
      </c>
      <c r="D39" s="61"/>
    </row>
    <row r="43" spans="1:9" x14ac:dyDescent="0.3">
      <c r="C43" s="86"/>
    </row>
    <row r="44" spans="1:9" x14ac:dyDescent="0.3">
      <c r="C44" s="86"/>
    </row>
  </sheetData>
  <pageMargins left="0.7" right="0.7" top="0.75" bottom="0.75" header="0.3" footer="0.3"/>
  <pageSetup scale="87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3159-F4ED-4EFD-8625-939B76BBAFCE}">
  <sheetPr codeName="Sheet6"/>
  <dimension ref="A1:L51"/>
  <sheetViews>
    <sheetView showGridLines="0" zoomScale="110" zoomScaleNormal="110" workbookViewId="0">
      <pane ySplit="4" topLeftCell="A18" activePane="bottomLeft" state="frozen"/>
      <selection activeCell="H7" sqref="H7"/>
      <selection pane="bottomLeft" activeCell="H7" sqref="H7"/>
    </sheetView>
  </sheetViews>
  <sheetFormatPr defaultColWidth="8.88671875" defaultRowHeight="14.4" x14ac:dyDescent="0.3"/>
  <cols>
    <col min="1" max="1" width="55.6640625" style="39" customWidth="1"/>
    <col min="2" max="4" width="12.6640625" style="39" customWidth="1"/>
    <col min="5" max="5" width="0.6640625" style="39" customWidth="1"/>
    <col min="6" max="8" width="12.6640625" style="39" customWidth="1"/>
    <col min="9" max="9" width="11.33203125" style="39" bestFit="1" customWidth="1"/>
    <col min="10" max="11" width="8.88671875" style="39"/>
    <col min="12" max="12" width="16.109375" style="39" bestFit="1" customWidth="1"/>
    <col min="13" max="16384" width="8.88671875" style="39"/>
  </cols>
  <sheetData>
    <row r="1" spans="1:12" ht="19.95" customHeight="1" x14ac:dyDescent="0.3">
      <c r="A1" s="45" t="s">
        <v>76</v>
      </c>
      <c r="I1" s="76">
        <v>45548</v>
      </c>
    </row>
    <row r="2" spans="1:12" ht="19.95" customHeight="1" x14ac:dyDescent="0.3">
      <c r="A2" s="47" t="str">
        <f>_xlfn.CONCAT("Statement of Account as of ",TEXT(I1,"MMMMMMM DD, YYYY"))</f>
        <v>Statement of Account as of September 13, 2024</v>
      </c>
    </row>
    <row r="3" spans="1:12" ht="19.95" customHeight="1" x14ac:dyDescent="0.3"/>
    <row r="4" spans="1:12" s="40" customFormat="1" ht="30" customHeight="1" x14ac:dyDescent="0.3">
      <c r="A4" s="71" t="s">
        <v>51</v>
      </c>
      <c r="B4" s="72" t="s">
        <v>52</v>
      </c>
      <c r="C4" s="72" t="s">
        <v>83</v>
      </c>
      <c r="D4" s="72" t="s">
        <v>57</v>
      </c>
      <c r="E4" s="72" t="s">
        <v>57</v>
      </c>
      <c r="F4" s="75" t="s">
        <v>8</v>
      </c>
      <c r="G4" s="75" t="s">
        <v>7</v>
      </c>
      <c r="H4" s="75" t="s">
        <v>84</v>
      </c>
    </row>
    <row r="5" spans="1:12" s="40" customFormat="1" ht="15" customHeight="1" x14ac:dyDescent="0.3">
      <c r="A5" s="70" t="s">
        <v>85</v>
      </c>
      <c r="B5" s="68">
        <v>509250</v>
      </c>
      <c r="C5" s="69"/>
      <c r="D5" s="69">
        <f>B5-C5</f>
        <v>509250</v>
      </c>
      <c r="F5" s="78" t="s">
        <v>28</v>
      </c>
      <c r="G5" s="77" t="s">
        <v>28</v>
      </c>
      <c r="H5" s="79" t="s">
        <v>28</v>
      </c>
    </row>
    <row r="6" spans="1:12" s="40" customFormat="1" ht="15" customHeight="1" x14ac:dyDescent="0.3">
      <c r="A6" s="70" t="s">
        <v>86</v>
      </c>
      <c r="B6" s="69"/>
      <c r="C6" s="68">
        <v>509250</v>
      </c>
      <c r="D6" s="69">
        <f>D5+'13.Sep.2024'!$B6-'13.Sep.2024'!$C6</f>
        <v>0</v>
      </c>
      <c r="F6" s="80" t="s">
        <v>28</v>
      </c>
      <c r="G6" s="81" t="s">
        <v>28</v>
      </c>
      <c r="H6" s="82" t="s">
        <v>28</v>
      </c>
    </row>
    <row r="7" spans="1:12" s="40" customFormat="1" ht="15" customHeight="1" x14ac:dyDescent="0.3">
      <c r="A7" s="70" t="s">
        <v>85</v>
      </c>
      <c r="B7" s="69">
        <v>509250</v>
      </c>
      <c r="C7" s="68"/>
      <c r="D7" s="69">
        <f>D6+'13.Sep.2024'!$B7-'13.Sep.2024'!$C7</f>
        <v>509250</v>
      </c>
      <c r="F7" s="77" t="s">
        <v>28</v>
      </c>
      <c r="G7" s="78" t="s">
        <v>28</v>
      </c>
      <c r="H7" s="79" t="s">
        <v>28</v>
      </c>
    </row>
    <row r="8" spans="1:12" s="40" customFormat="1" ht="15" customHeight="1" x14ac:dyDescent="0.3">
      <c r="A8" s="70" t="s">
        <v>86</v>
      </c>
      <c r="B8" s="69"/>
      <c r="C8" s="68">
        <v>509250</v>
      </c>
      <c r="D8" s="69">
        <f>D7+'13.Sep.2024'!$B8-'13.Sep.2024'!$C8</f>
        <v>0</v>
      </c>
      <c r="F8" s="80" t="s">
        <v>28</v>
      </c>
      <c r="G8" s="81" t="s">
        <v>28</v>
      </c>
      <c r="H8" s="82" t="s">
        <v>28</v>
      </c>
      <c r="L8" s="56"/>
    </row>
    <row r="9" spans="1:12" s="40" customFormat="1" ht="15" customHeight="1" x14ac:dyDescent="0.3">
      <c r="A9" s="70" t="s">
        <v>92</v>
      </c>
      <c r="B9" s="69">
        <v>135800.70000000001</v>
      </c>
      <c r="C9" s="68"/>
      <c r="D9" s="69">
        <f>D8+'13.Sep.2024'!$B9-'13.Sep.2024'!$C9</f>
        <v>135800.70000000001</v>
      </c>
      <c r="F9" s="77" t="s">
        <v>28</v>
      </c>
      <c r="G9" s="78" t="s">
        <v>28</v>
      </c>
      <c r="H9" s="79" t="s">
        <v>28</v>
      </c>
    </row>
    <row r="10" spans="1:12" s="40" customFormat="1" ht="15" customHeight="1" x14ac:dyDescent="0.3">
      <c r="A10" s="70" t="s">
        <v>94</v>
      </c>
      <c r="B10" s="69"/>
      <c r="C10" s="68">
        <v>135800.70000000001</v>
      </c>
      <c r="D10" s="69">
        <f>D9+'13.Sep.2024'!$B10-'13.Sep.2024'!$C10</f>
        <v>0</v>
      </c>
      <c r="F10" s="80" t="s">
        <v>28</v>
      </c>
      <c r="G10" s="81" t="s">
        <v>28</v>
      </c>
      <c r="H10" s="82" t="s">
        <v>28</v>
      </c>
    </row>
    <row r="11" spans="1:12" s="40" customFormat="1" ht="15" customHeight="1" x14ac:dyDescent="0.3">
      <c r="A11" s="70" t="s">
        <v>96</v>
      </c>
      <c r="B11" s="69">
        <v>135799.65</v>
      </c>
      <c r="C11" s="68"/>
      <c r="D11" s="69">
        <f>D10+'13.Sep.2024'!$B11-'13.Sep.2024'!$C11</f>
        <v>135799.65</v>
      </c>
      <c r="F11" s="77" t="s">
        <v>28</v>
      </c>
      <c r="G11" s="78" t="s">
        <v>28</v>
      </c>
      <c r="H11" s="79" t="s">
        <v>28</v>
      </c>
    </row>
    <row r="12" spans="1:12" s="40" customFormat="1" ht="15" customHeight="1" x14ac:dyDescent="0.3">
      <c r="A12" s="70" t="s">
        <v>98</v>
      </c>
      <c r="B12" s="69"/>
      <c r="C12" s="68">
        <v>135799.65</v>
      </c>
      <c r="D12" s="69">
        <f>D11+'13.Sep.2024'!$B12-'13.Sep.2024'!$C12</f>
        <v>0</v>
      </c>
      <c r="F12" s="80" t="s">
        <v>28</v>
      </c>
      <c r="G12" s="81" t="s">
        <v>28</v>
      </c>
      <c r="H12" s="82" t="s">
        <v>28</v>
      </c>
    </row>
    <row r="13" spans="1:12" s="40" customFormat="1" ht="15" customHeight="1" x14ac:dyDescent="0.3">
      <c r="A13" s="70" t="s">
        <v>100</v>
      </c>
      <c r="B13" s="69">
        <v>135799.65</v>
      </c>
      <c r="C13" s="68"/>
      <c r="D13" s="69">
        <f>D12+'13.Sep.2024'!$B13-'13.Sep.2024'!$C13</f>
        <v>135799.65</v>
      </c>
      <c r="F13" s="77" t="s">
        <v>28</v>
      </c>
      <c r="G13" s="78" t="s">
        <v>28</v>
      </c>
      <c r="H13" s="79" t="s">
        <v>28</v>
      </c>
    </row>
    <row r="14" spans="1:12" s="40" customFormat="1" ht="15" customHeight="1" x14ac:dyDescent="0.3">
      <c r="A14" s="70" t="s">
        <v>102</v>
      </c>
      <c r="B14" s="69"/>
      <c r="C14" s="68">
        <v>135799.65</v>
      </c>
      <c r="D14" s="69">
        <f>D13+'13.Sep.2024'!$B14-'13.Sep.2024'!$C14</f>
        <v>0</v>
      </c>
      <c r="F14" s="80" t="s">
        <v>28</v>
      </c>
      <c r="G14" s="81" t="s">
        <v>28</v>
      </c>
      <c r="H14" s="82" t="s">
        <v>28</v>
      </c>
    </row>
    <row r="15" spans="1:12" s="40" customFormat="1" ht="15" customHeight="1" x14ac:dyDescent="0.3">
      <c r="A15" s="70" t="s">
        <v>104</v>
      </c>
      <c r="B15" s="69">
        <v>203700</v>
      </c>
      <c r="C15" s="68"/>
      <c r="D15" s="69">
        <f>D14+'13.Sep.2024'!$B15-'13.Sep.2024'!$C15</f>
        <v>203700</v>
      </c>
      <c r="F15" s="77" t="s">
        <v>28</v>
      </c>
      <c r="G15" s="78" t="s">
        <v>28</v>
      </c>
      <c r="H15" s="79" t="s">
        <v>28</v>
      </c>
    </row>
    <row r="16" spans="1:12" s="40" customFormat="1" ht="15" customHeight="1" x14ac:dyDescent="0.3">
      <c r="A16" s="70" t="s">
        <v>106</v>
      </c>
      <c r="B16" s="69"/>
      <c r="C16" s="68">
        <v>203700</v>
      </c>
      <c r="D16" s="69">
        <f>D15+'13.Sep.2024'!$B16-'13.Sep.2024'!$C16</f>
        <v>0</v>
      </c>
      <c r="F16" s="80" t="s">
        <v>28</v>
      </c>
      <c r="G16" s="81" t="s">
        <v>28</v>
      </c>
      <c r="H16" s="82" t="s">
        <v>28</v>
      </c>
    </row>
    <row r="17" spans="1:10" s="40" customFormat="1" ht="15" customHeight="1" x14ac:dyDescent="0.3">
      <c r="A17" s="70" t="s">
        <v>108</v>
      </c>
      <c r="B17" s="69">
        <v>203700</v>
      </c>
      <c r="C17" s="68"/>
      <c r="D17" s="69">
        <f>D16+'13.Sep.2024'!$B17-'13.Sep.2024'!$C17</f>
        <v>203700</v>
      </c>
      <c r="F17" s="77" t="s">
        <v>28</v>
      </c>
      <c r="G17" s="78" t="s">
        <v>28</v>
      </c>
      <c r="H17" s="79" t="s">
        <v>28</v>
      </c>
    </row>
    <row r="18" spans="1:10" s="40" customFormat="1" ht="15" customHeight="1" x14ac:dyDescent="0.3">
      <c r="A18" s="70" t="s">
        <v>110</v>
      </c>
      <c r="B18" s="69"/>
      <c r="C18" s="68">
        <v>203700</v>
      </c>
      <c r="D18" s="69">
        <f>D17+'13.Sep.2024'!$B18-'13.Sep.2024'!$C18</f>
        <v>0</v>
      </c>
      <c r="F18" s="80" t="s">
        <v>28</v>
      </c>
      <c r="G18" s="81" t="s">
        <v>28</v>
      </c>
      <c r="H18" s="82" t="s">
        <v>28</v>
      </c>
    </row>
    <row r="19" spans="1:10" s="40" customFormat="1" ht="15" customHeight="1" x14ac:dyDescent="0.3">
      <c r="A19" s="70" t="s">
        <v>112</v>
      </c>
      <c r="B19" s="69">
        <v>203700</v>
      </c>
      <c r="C19" s="68"/>
      <c r="D19" s="69">
        <f>D18+'13.Sep.2024'!$B19-'13.Sep.2024'!$C19</f>
        <v>203700</v>
      </c>
      <c r="F19" s="77" t="s">
        <v>28</v>
      </c>
      <c r="G19" s="78" t="s">
        <v>28</v>
      </c>
      <c r="H19" s="79" t="s">
        <v>28</v>
      </c>
    </row>
    <row r="20" spans="1:10" ht="15" customHeight="1" x14ac:dyDescent="0.3">
      <c r="A20" s="70" t="s">
        <v>113</v>
      </c>
      <c r="B20" s="69"/>
      <c r="C20" s="68">
        <v>203700</v>
      </c>
      <c r="D20" s="69">
        <f>D19+'13.Sep.2024'!$B20-'13.Sep.2024'!$C20</f>
        <v>0</v>
      </c>
      <c r="F20" s="80" t="s">
        <v>28</v>
      </c>
      <c r="G20" s="81" t="s">
        <v>28</v>
      </c>
      <c r="H20" s="82" t="s">
        <v>28</v>
      </c>
    </row>
    <row r="21" spans="1:10" x14ac:dyDescent="0.3">
      <c r="A21" s="70" t="s">
        <v>114</v>
      </c>
      <c r="B21" s="69">
        <v>203700</v>
      </c>
      <c r="C21" s="68"/>
      <c r="D21" s="69">
        <f>D20+'13.Sep.2024'!$B21-'13.Sep.2024'!$C21</f>
        <v>203700</v>
      </c>
      <c r="F21" s="77" t="s">
        <v>28</v>
      </c>
      <c r="G21" s="78" t="s">
        <v>28</v>
      </c>
      <c r="H21" s="79" t="s">
        <v>28</v>
      </c>
    </row>
    <row r="22" spans="1:10" x14ac:dyDescent="0.3">
      <c r="A22" s="70" t="s">
        <v>115</v>
      </c>
      <c r="B22" s="69">
        <v>203700</v>
      </c>
      <c r="C22" s="68"/>
      <c r="D22" s="69">
        <f>D21+'13.Sep.2024'!$B22-'13.Sep.2024'!$C22</f>
        <v>407400</v>
      </c>
      <c r="F22" s="80" t="s">
        <v>28</v>
      </c>
      <c r="G22" s="81" t="s">
        <v>28</v>
      </c>
      <c r="H22" s="82" t="s">
        <v>28</v>
      </c>
    </row>
    <row r="23" spans="1:10" x14ac:dyDescent="0.3">
      <c r="A23" s="70" t="s">
        <v>116</v>
      </c>
      <c r="B23" s="69">
        <v>20328</v>
      </c>
      <c r="C23" s="68"/>
      <c r="D23" s="69">
        <f>D22+'13.Sep.2024'!$B23-'13.Sep.2024'!$C23</f>
        <v>427728</v>
      </c>
      <c r="F23" s="77" t="s">
        <v>28</v>
      </c>
      <c r="G23" s="78" t="s">
        <v>28</v>
      </c>
      <c r="H23" s="79" t="s">
        <v>28</v>
      </c>
    </row>
    <row r="24" spans="1:10" x14ac:dyDescent="0.3">
      <c r="A24" s="70" t="s">
        <v>117</v>
      </c>
      <c r="B24" s="69"/>
      <c r="C24" s="68">
        <v>203700</v>
      </c>
      <c r="D24" s="69">
        <f>D23+'13.Sep.2024'!$B24-'13.Sep.2024'!$C24</f>
        <v>224028</v>
      </c>
      <c r="F24" s="80" t="s">
        <v>28</v>
      </c>
      <c r="G24" s="81" t="s">
        <v>28</v>
      </c>
      <c r="H24" s="82" t="s">
        <v>28</v>
      </c>
    </row>
    <row r="25" spans="1:10" x14ac:dyDescent="0.3">
      <c r="A25" s="70" t="s">
        <v>118</v>
      </c>
      <c r="B25" s="69"/>
      <c r="C25" s="68">
        <f>224028-C24</f>
        <v>20328</v>
      </c>
      <c r="D25" s="69">
        <f>D24+'13.Sep.2024'!$B25-'13.Sep.2024'!$C25</f>
        <v>203700</v>
      </c>
      <c r="F25" s="77" t="s">
        <v>28</v>
      </c>
      <c r="G25" s="78" t="s">
        <v>28</v>
      </c>
      <c r="H25" s="79" t="s">
        <v>28</v>
      </c>
    </row>
    <row r="26" spans="1:10" x14ac:dyDescent="0.3">
      <c r="A26" s="70" t="s">
        <v>119</v>
      </c>
      <c r="B26" s="69"/>
      <c r="C26" s="68">
        <v>203700</v>
      </c>
      <c r="D26" s="69">
        <f>D25+'13.Sep.2024'!$B26-'13.Sep.2024'!$C26</f>
        <v>0</v>
      </c>
      <c r="F26" s="80" t="s">
        <v>28</v>
      </c>
      <c r="G26" s="81" t="s">
        <v>28</v>
      </c>
      <c r="H26" s="82" t="s">
        <v>28</v>
      </c>
    </row>
    <row r="27" spans="1:10" x14ac:dyDescent="0.3">
      <c r="A27" s="70" t="s">
        <v>120</v>
      </c>
      <c r="B27" s="69">
        <v>203700</v>
      </c>
      <c r="C27" s="68"/>
      <c r="D27" s="69">
        <f>D26+'13.Sep.2024'!$B27-'13.Sep.2024'!$C27</f>
        <v>203700</v>
      </c>
      <c r="F27" s="77" t="s">
        <v>28</v>
      </c>
      <c r="G27" s="78" t="s">
        <v>28</v>
      </c>
      <c r="H27" s="79" t="s">
        <v>28</v>
      </c>
    </row>
    <row r="28" spans="1:10" x14ac:dyDescent="0.3">
      <c r="A28" s="70" t="s">
        <v>121</v>
      </c>
      <c r="B28" s="69"/>
      <c r="C28" s="68">
        <v>203700</v>
      </c>
      <c r="D28" s="69">
        <f>D27+'13.Sep.2024'!$B28-'13.Sep.2024'!$C28</f>
        <v>0</v>
      </c>
      <c r="F28" s="80" t="s">
        <v>28</v>
      </c>
      <c r="G28" s="81" t="s">
        <v>28</v>
      </c>
      <c r="H28" s="82" t="s">
        <v>28</v>
      </c>
    </row>
    <row r="29" spans="1:10" x14ac:dyDescent="0.3">
      <c r="A29" s="70" t="s">
        <v>122</v>
      </c>
      <c r="B29" s="69">
        <v>203700</v>
      </c>
      <c r="C29" s="68"/>
      <c r="D29" s="69">
        <f>D28+'13.Sep.2024'!$B29-'13.Sep.2024'!$C29</f>
        <v>203700</v>
      </c>
      <c r="F29" s="77" t="s">
        <v>123</v>
      </c>
      <c r="G29" s="78" t="s">
        <v>28</v>
      </c>
      <c r="H29" s="79" t="s">
        <v>28</v>
      </c>
      <c r="J29" s="85">
        <f>Table1[[#This Row],[Balance
--AED--]]</f>
        <v>203700</v>
      </c>
    </row>
    <row r="30" spans="1:10" x14ac:dyDescent="0.3">
      <c r="A30" s="70" t="s">
        <v>124</v>
      </c>
      <c r="B30" s="69">
        <v>498272.25</v>
      </c>
      <c r="C30" s="68"/>
      <c r="D30" s="69">
        <f>D29+'13.Sep.2024'!$B30-'13.Sep.2024'!$C30</f>
        <v>701972.25</v>
      </c>
      <c r="F30" s="80" t="s">
        <v>125</v>
      </c>
      <c r="G30" s="81" t="s">
        <v>28</v>
      </c>
      <c r="H30" s="82" t="s">
        <v>28</v>
      </c>
      <c r="J30" s="85">
        <f>Table1[[#This Row],[Contract Value
--AED--]]</f>
        <v>498272.25</v>
      </c>
    </row>
    <row r="31" spans="1:10" x14ac:dyDescent="0.3">
      <c r="A31" s="70" t="s">
        <v>126</v>
      </c>
      <c r="B31" s="69">
        <v>280628.25</v>
      </c>
      <c r="C31" s="68"/>
      <c r="D31" s="69">
        <f>D30+'13.Sep.2024'!$B31-'13.Sep.2024'!$C31</f>
        <v>982600.5</v>
      </c>
      <c r="F31" s="77" t="s">
        <v>127</v>
      </c>
      <c r="G31" s="78" t="s">
        <v>28</v>
      </c>
      <c r="H31" s="79" t="s">
        <v>28</v>
      </c>
      <c r="J31" s="85">
        <f>Table1[[#This Row],[Contract Value
--AED--]]-6384</f>
        <v>274244.25</v>
      </c>
    </row>
    <row r="32" spans="1:10" x14ac:dyDescent="0.3">
      <c r="A32" s="70" t="s">
        <v>128</v>
      </c>
      <c r="B32" s="69">
        <v>487683</v>
      </c>
      <c r="C32" s="68"/>
      <c r="D32" s="69">
        <f>D31+'13.Sep.2024'!$B32-'13.Sep.2024'!$C32</f>
        <v>1470283.5</v>
      </c>
      <c r="F32" s="80" t="s">
        <v>129</v>
      </c>
      <c r="G32" s="81" t="s">
        <v>28</v>
      </c>
      <c r="H32" s="82" t="s">
        <v>28</v>
      </c>
    </row>
    <row r="33" spans="1:11" x14ac:dyDescent="0.3">
      <c r="A33" s="70" t="s">
        <v>130</v>
      </c>
      <c r="B33" s="69">
        <v>390907.65</v>
      </c>
      <c r="C33" s="68"/>
      <c r="D33" s="69">
        <f>D32+'13.Sep.2024'!$B33-'13.Sep.2024'!$C33</f>
        <v>1861191.15</v>
      </c>
      <c r="F33" s="77" t="s">
        <v>131</v>
      </c>
      <c r="G33" s="78" t="s">
        <v>28</v>
      </c>
      <c r="H33" s="79" t="s">
        <v>28</v>
      </c>
    </row>
    <row r="34" spans="1:11" x14ac:dyDescent="0.3">
      <c r="A34" s="70"/>
      <c r="B34" s="69"/>
      <c r="C34" s="68"/>
      <c r="D34" s="69">
        <f>D33+'13.Sep.2024'!$B34-'13.Sep.2024'!$C34</f>
        <v>1861191.15</v>
      </c>
      <c r="F34" s="80" t="s">
        <v>28</v>
      </c>
      <c r="G34" s="81" t="s">
        <v>28</v>
      </c>
      <c r="H34" s="82" t="s">
        <v>28</v>
      </c>
    </row>
    <row r="35" spans="1:11" ht="15" thickTop="1" x14ac:dyDescent="0.3">
      <c r="A35" s="73" t="s">
        <v>44</v>
      </c>
      <c r="B35" s="74">
        <f>SUBTOTAL(9,B5:B34)</f>
        <v>4529619.1500000004</v>
      </c>
      <c r="C35" s="74">
        <f>SUBTOTAL(9,C5:C34)</f>
        <v>2668428</v>
      </c>
      <c r="D35" s="74">
        <f>B35-C35</f>
        <v>1861191.1500000004</v>
      </c>
      <c r="F35" s="83"/>
      <c r="G35" s="83"/>
      <c r="H35" s="84"/>
    </row>
    <row r="36" spans="1:11" x14ac:dyDescent="0.3">
      <c r="A36" s="40"/>
      <c r="B36" s="40"/>
      <c r="C36" s="40"/>
      <c r="D36" s="40"/>
    </row>
    <row r="37" spans="1:11" x14ac:dyDescent="0.3">
      <c r="A37" s="41" t="s">
        <v>29</v>
      </c>
      <c r="B37" s="60"/>
      <c r="C37" s="60">
        <f>'13.Sep.2024'!$C$35/'13.Sep.2024'!$B$35</f>
        <v>0.58910648150187195</v>
      </c>
      <c r="D37" s="61"/>
    </row>
    <row r="39" spans="1:11" x14ac:dyDescent="0.3">
      <c r="F39" s="62">
        <v>509250</v>
      </c>
      <c r="G39" s="63" t="s">
        <v>87</v>
      </c>
    </row>
    <row r="40" spans="1:11" x14ac:dyDescent="0.3">
      <c r="F40" s="63">
        <v>135800.70000000001</v>
      </c>
      <c r="G40" s="63" t="s">
        <v>88</v>
      </c>
      <c r="H40" s="27" t="s">
        <v>89</v>
      </c>
      <c r="I40" s="27" t="s">
        <v>90</v>
      </c>
      <c r="J40" s="33" t="s">
        <v>91</v>
      </c>
      <c r="K40" s="27" t="s">
        <v>44</v>
      </c>
    </row>
    <row r="41" spans="1:11" x14ac:dyDescent="0.3">
      <c r="F41" s="63">
        <v>135799.65</v>
      </c>
      <c r="G41" s="63" t="s">
        <v>93</v>
      </c>
      <c r="H41" s="28">
        <f>485000</f>
        <v>485000</v>
      </c>
      <c r="I41" s="28">
        <v>970000</v>
      </c>
      <c r="J41" s="28">
        <v>970000</v>
      </c>
      <c r="K41" s="27">
        <f>SUM(H41:J41)</f>
        <v>2425000</v>
      </c>
    </row>
    <row r="42" spans="1:11" ht="15" thickBot="1" x14ac:dyDescent="0.35">
      <c r="F42" s="63">
        <v>135799.65</v>
      </c>
      <c r="G42" s="63" t="s">
        <v>95</v>
      </c>
      <c r="H42" s="29">
        <f>H41*5%</f>
        <v>24250</v>
      </c>
      <c r="I42" s="29">
        <f>I41*5%</f>
        <v>48500</v>
      </c>
      <c r="J42" s="29">
        <f>J41*5%</f>
        <v>48500</v>
      </c>
      <c r="K42" s="30">
        <f>K41*5%</f>
        <v>121250</v>
      </c>
    </row>
    <row r="43" spans="1:11" ht="15.6" thickTop="1" thickBot="1" x14ac:dyDescent="0.35">
      <c r="F43" s="62">
        <v>203700</v>
      </c>
      <c r="G43" s="63" t="s">
        <v>97</v>
      </c>
      <c r="H43" s="31">
        <f>H41+H42</f>
        <v>509250</v>
      </c>
      <c r="I43" s="31">
        <f>I41+I42</f>
        <v>1018500</v>
      </c>
      <c r="J43" s="31">
        <f>J41+J42</f>
        <v>1018500</v>
      </c>
      <c r="K43" s="32">
        <f>K41+K42</f>
        <v>2546250</v>
      </c>
    </row>
    <row r="44" spans="1:11" x14ac:dyDescent="0.3">
      <c r="F44" s="62">
        <v>203700</v>
      </c>
      <c r="G44" s="63" t="s">
        <v>99</v>
      </c>
    </row>
    <row r="45" spans="1:11" x14ac:dyDescent="0.3">
      <c r="F45" s="62">
        <v>203700</v>
      </c>
      <c r="G45" s="63" t="s">
        <v>101</v>
      </c>
    </row>
    <row r="46" spans="1:11" x14ac:dyDescent="0.3">
      <c r="F46" s="62">
        <v>203700</v>
      </c>
      <c r="G46" s="63" t="s">
        <v>103</v>
      </c>
    </row>
    <row r="47" spans="1:11" x14ac:dyDescent="0.3">
      <c r="F47" s="62">
        <v>203700</v>
      </c>
      <c r="G47" s="63" t="s">
        <v>105</v>
      </c>
    </row>
    <row r="48" spans="1:11" x14ac:dyDescent="0.3">
      <c r="F48" s="64">
        <v>203700</v>
      </c>
      <c r="G48" s="65" t="s">
        <v>107</v>
      </c>
    </row>
    <row r="49" spans="6:7" x14ac:dyDescent="0.3">
      <c r="F49" s="66">
        <v>203700</v>
      </c>
      <c r="G49" s="39" t="s">
        <v>109</v>
      </c>
    </row>
    <row r="50" spans="6:7" x14ac:dyDescent="0.3">
      <c r="F50" s="66">
        <v>203700</v>
      </c>
      <c r="G50" s="39" t="s">
        <v>111</v>
      </c>
    </row>
    <row r="51" spans="6:7" x14ac:dyDescent="0.3">
      <c r="F51" s="66">
        <f>SUM(F39:F50)</f>
        <v>2546250</v>
      </c>
      <c r="G51" s="67">
        <f>B5-F51+H43+I43+J43-K43</f>
        <v>-2037000</v>
      </c>
    </row>
  </sheetData>
  <autoFilter ref="F4:H4" xr:uid="{99C23159-F4ED-4EFD-8625-939B76BBAFCE}"/>
  <pageMargins left="0.7" right="0.7" top="0.75" bottom="0.75" header="0.3" footer="0.3"/>
  <pageSetup scale="87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8F8B-D9C8-4972-85C9-B003F56E4157}">
  <sheetPr codeName="Sheet7"/>
  <dimension ref="A1:L33"/>
  <sheetViews>
    <sheetView showGridLines="0" zoomScale="110" zoomScaleNormal="110" workbookViewId="0">
      <pane ySplit="4" topLeftCell="A5" activePane="bottomLeft" state="frozen"/>
      <selection activeCell="H7" sqref="H7"/>
      <selection pane="bottomLeft" activeCell="H7" sqref="H7"/>
    </sheetView>
  </sheetViews>
  <sheetFormatPr defaultColWidth="8.88671875" defaultRowHeight="14.4" x14ac:dyDescent="0.3"/>
  <cols>
    <col min="1" max="1" width="55.6640625" style="39" customWidth="1"/>
    <col min="2" max="4" width="12.6640625" style="39" customWidth="1"/>
    <col min="5" max="5" width="9.44140625" style="39" bestFit="1" customWidth="1"/>
    <col min="6" max="6" width="9.5546875" style="39" bestFit="1" customWidth="1"/>
    <col min="7" max="7" width="13.6640625" style="39" customWidth="1"/>
    <col min="8" max="11" width="8.88671875" style="39"/>
    <col min="12" max="12" width="16.109375" style="39" bestFit="1" customWidth="1"/>
    <col min="13" max="16384" width="8.88671875" style="39"/>
  </cols>
  <sheetData>
    <row r="1" spans="1:12" ht="19.95" customHeight="1" x14ac:dyDescent="0.3">
      <c r="A1" s="45" t="s">
        <v>76</v>
      </c>
      <c r="G1" s="46">
        <v>45482</v>
      </c>
    </row>
    <row r="2" spans="1:12" ht="19.95" customHeight="1" x14ac:dyDescent="0.3">
      <c r="A2" s="47" t="str">
        <f>_xlfn.CONCAT("Statement of Account as of ",TEXT(G1,"MMMMMMM DD, YYYY"))</f>
        <v>Statement of Account as of July 09, 2024</v>
      </c>
    </row>
    <row r="3" spans="1:12" ht="19.95" customHeight="1" x14ac:dyDescent="0.3"/>
    <row r="4" spans="1:12" s="40" customFormat="1" ht="30" customHeight="1" x14ac:dyDescent="0.3">
      <c r="A4" s="42" t="s">
        <v>51</v>
      </c>
      <c r="B4" s="43" t="s">
        <v>52</v>
      </c>
      <c r="C4" s="43" t="s">
        <v>83</v>
      </c>
      <c r="D4" s="44" t="s">
        <v>57</v>
      </c>
    </row>
    <row r="5" spans="1:12" s="40" customFormat="1" ht="15" customHeight="1" x14ac:dyDescent="0.3">
      <c r="A5" s="48" t="s">
        <v>60</v>
      </c>
      <c r="B5" s="49">
        <v>2546250</v>
      </c>
      <c r="C5" s="50"/>
      <c r="D5" s="51">
        <f>B5-C5</f>
        <v>2546250</v>
      </c>
    </row>
    <row r="6" spans="1:12" s="40" customFormat="1" ht="15" customHeight="1" x14ac:dyDescent="0.3">
      <c r="A6" s="52" t="s">
        <v>135</v>
      </c>
      <c r="B6" s="53"/>
      <c r="C6" s="54">
        <v>509250</v>
      </c>
      <c r="D6" s="55">
        <f>D5+'09.Jul.2024'!$B6-'09.Jul.2024'!$C6</f>
        <v>2037000</v>
      </c>
    </row>
    <row r="7" spans="1:12" s="40" customFormat="1" ht="15" customHeight="1" x14ac:dyDescent="0.3">
      <c r="A7" s="48" t="s">
        <v>136</v>
      </c>
      <c r="B7" s="50"/>
      <c r="C7" s="49">
        <v>135800.75</v>
      </c>
      <c r="D7" s="51">
        <f>D6+'09.Jul.2024'!$B7-'09.Jul.2024'!$C7</f>
        <v>1901199.25</v>
      </c>
    </row>
    <row r="8" spans="1:12" s="40" customFormat="1" ht="15" customHeight="1" x14ac:dyDescent="0.3">
      <c r="A8" s="52" t="s">
        <v>137</v>
      </c>
      <c r="B8" s="53"/>
      <c r="C8" s="54">
        <v>135799.65</v>
      </c>
      <c r="D8" s="55">
        <f>D7+'09.Jul.2024'!$B8-'09.Jul.2024'!$C8</f>
        <v>1765399.6</v>
      </c>
      <c r="L8" s="56"/>
    </row>
    <row r="9" spans="1:12" s="40" customFormat="1" ht="15" customHeight="1" x14ac:dyDescent="0.3">
      <c r="A9" s="48" t="s">
        <v>138</v>
      </c>
      <c r="B9" s="50"/>
      <c r="C9" s="49">
        <v>135799.65</v>
      </c>
      <c r="D9" s="51">
        <f>D8+'09.Jul.2024'!$B9-'09.Jul.2024'!$C9</f>
        <v>1629599.9500000002</v>
      </c>
    </row>
    <row r="10" spans="1:12" s="40" customFormat="1" ht="15" customHeight="1" x14ac:dyDescent="0.3">
      <c r="A10" s="52" t="s">
        <v>139</v>
      </c>
      <c r="B10" s="53"/>
      <c r="C10" s="54">
        <v>203700</v>
      </c>
      <c r="D10" s="55">
        <f>D9+'09.Jul.2024'!$B10-'09.Jul.2024'!$C10</f>
        <v>1425899.9500000002</v>
      </c>
    </row>
    <row r="11" spans="1:12" s="40" customFormat="1" ht="15" customHeight="1" x14ac:dyDescent="0.3">
      <c r="A11" s="48" t="s">
        <v>140</v>
      </c>
      <c r="B11" s="50"/>
      <c r="C11" s="49">
        <v>203700</v>
      </c>
      <c r="D11" s="51">
        <f>D10+'09.Jul.2024'!$B11-'09.Jul.2024'!$C11</f>
        <v>1222199.9500000002</v>
      </c>
    </row>
    <row r="12" spans="1:12" s="40" customFormat="1" ht="15" customHeight="1" x14ac:dyDescent="0.3">
      <c r="A12" s="52" t="s">
        <v>141</v>
      </c>
      <c r="B12" s="53"/>
      <c r="C12" s="54">
        <v>203700</v>
      </c>
      <c r="D12" s="55">
        <f>D11+'09.Jul.2024'!$B12-'09.Jul.2024'!$C12</f>
        <v>1018499.9500000002</v>
      </c>
    </row>
    <row r="13" spans="1:12" s="40" customFormat="1" ht="15" customHeight="1" x14ac:dyDescent="0.3">
      <c r="A13" s="48" t="s">
        <v>142</v>
      </c>
      <c r="B13" s="50"/>
      <c r="C13" s="49">
        <v>203700</v>
      </c>
      <c r="D13" s="51">
        <f>D12+'09.Jul.2024'!$B13-'09.Jul.2024'!$C13</f>
        <v>814799.95000000019</v>
      </c>
    </row>
    <row r="14" spans="1:12" s="40" customFormat="1" ht="15" customHeight="1" x14ac:dyDescent="0.3">
      <c r="A14" s="52" t="s">
        <v>143</v>
      </c>
      <c r="B14" s="53"/>
      <c r="C14" s="54">
        <v>203700</v>
      </c>
      <c r="D14" s="55">
        <f>D13+'09.Jul.2024'!$B14-'09.Jul.2024'!$C14</f>
        <v>611099.95000000019</v>
      </c>
    </row>
    <row r="15" spans="1:12" s="40" customFormat="1" ht="15" customHeight="1" x14ac:dyDescent="0.3">
      <c r="A15" s="48" t="s">
        <v>144</v>
      </c>
      <c r="B15" s="50"/>
      <c r="C15" s="49">
        <v>203700</v>
      </c>
      <c r="D15" s="51">
        <f>D14+'09.Jul.2024'!$B15-'09.Jul.2024'!$C15</f>
        <v>407399.95000000019</v>
      </c>
    </row>
    <row r="16" spans="1:12" s="40" customFormat="1" ht="15" customHeight="1" thickBot="1" x14ac:dyDescent="0.35">
      <c r="A16" s="52"/>
      <c r="B16" s="53"/>
      <c r="C16" s="54"/>
      <c r="D16" s="55"/>
    </row>
    <row r="17" spans="1:11" s="40" customFormat="1" ht="15" customHeight="1" thickTop="1" x14ac:dyDescent="0.3">
      <c r="A17" s="57" t="s">
        <v>44</v>
      </c>
      <c r="B17" s="58">
        <f>SUBTOTAL(9,B5:B16)</f>
        <v>2546250</v>
      </c>
      <c r="C17" s="58">
        <f>SUBTOTAL(9,C5:C16)</f>
        <v>2138850.0499999998</v>
      </c>
      <c r="D17" s="59">
        <f>B17-C17</f>
        <v>407399.95000000019</v>
      </c>
    </row>
    <row r="18" spans="1:11" s="40" customFormat="1" ht="15" customHeight="1" x14ac:dyDescent="0.3"/>
    <row r="19" spans="1:11" s="40" customFormat="1" ht="15" customHeight="1" x14ac:dyDescent="0.3">
      <c r="A19" s="41" t="s">
        <v>29</v>
      </c>
      <c r="B19" s="60"/>
      <c r="C19" s="60">
        <f>'09.Jul.2024'!$C$17/'09.Jul.2024'!$B$17</f>
        <v>0.84000001963672055</v>
      </c>
      <c r="D19" s="61"/>
    </row>
    <row r="20" spans="1:11" ht="15" customHeight="1" x14ac:dyDescent="0.3"/>
    <row r="21" spans="1:11" x14ac:dyDescent="0.3">
      <c r="F21" s="62">
        <v>509250</v>
      </c>
      <c r="G21" s="63" t="s">
        <v>87</v>
      </c>
    </row>
    <row r="22" spans="1:11" x14ac:dyDescent="0.3">
      <c r="F22" s="63">
        <v>135800.70000000001</v>
      </c>
      <c r="G22" s="63" t="s">
        <v>88</v>
      </c>
      <c r="H22" s="27" t="s">
        <v>89</v>
      </c>
      <c r="I22" s="27" t="s">
        <v>90</v>
      </c>
      <c r="J22" s="33" t="s">
        <v>91</v>
      </c>
      <c r="K22" s="27" t="s">
        <v>44</v>
      </c>
    </row>
    <row r="23" spans="1:11" x14ac:dyDescent="0.3">
      <c r="F23" s="63">
        <v>135799.65</v>
      </c>
      <c r="G23" s="63" t="s">
        <v>93</v>
      </c>
      <c r="H23" s="28">
        <f>485000</f>
        <v>485000</v>
      </c>
      <c r="I23" s="28">
        <v>970000</v>
      </c>
      <c r="J23" s="28">
        <v>970000</v>
      </c>
      <c r="K23" s="27">
        <f>SUM(H23:J23)</f>
        <v>2425000</v>
      </c>
    </row>
    <row r="24" spans="1:11" ht="15" thickBot="1" x14ac:dyDescent="0.35">
      <c r="F24" s="63">
        <v>135799.65</v>
      </c>
      <c r="G24" s="63" t="s">
        <v>95</v>
      </c>
      <c r="H24" s="29">
        <f>H23*5%</f>
        <v>24250</v>
      </c>
      <c r="I24" s="29">
        <f>I23*5%</f>
        <v>48500</v>
      </c>
      <c r="J24" s="29">
        <f>J23*5%</f>
        <v>48500</v>
      </c>
      <c r="K24" s="30">
        <f>K23*5%</f>
        <v>121250</v>
      </c>
    </row>
    <row r="25" spans="1:11" ht="15.6" thickTop="1" thickBot="1" x14ac:dyDescent="0.35">
      <c r="F25" s="62">
        <v>203700</v>
      </c>
      <c r="G25" s="63" t="s">
        <v>97</v>
      </c>
      <c r="H25" s="31">
        <f>H23+H24</f>
        <v>509250</v>
      </c>
      <c r="I25" s="31">
        <f>I23+I24</f>
        <v>1018500</v>
      </c>
      <c r="J25" s="31">
        <f>J23+J24</f>
        <v>1018500</v>
      </c>
      <c r="K25" s="32">
        <f>K23+K24</f>
        <v>2546250</v>
      </c>
    </row>
    <row r="26" spans="1:11" x14ac:dyDescent="0.3">
      <c r="F26" s="62">
        <v>203700</v>
      </c>
      <c r="G26" s="63" t="s">
        <v>99</v>
      </c>
    </row>
    <row r="27" spans="1:11" x14ac:dyDescent="0.3">
      <c r="F27" s="62">
        <v>203700</v>
      </c>
      <c r="G27" s="63" t="s">
        <v>101</v>
      </c>
    </row>
    <row r="28" spans="1:11" x14ac:dyDescent="0.3">
      <c r="F28" s="62">
        <v>203700</v>
      </c>
      <c r="G28" s="63" t="s">
        <v>103</v>
      </c>
    </row>
    <row r="29" spans="1:11" x14ac:dyDescent="0.3">
      <c r="F29" s="62">
        <v>203700</v>
      </c>
      <c r="G29" s="63" t="s">
        <v>105</v>
      </c>
    </row>
    <row r="30" spans="1:11" x14ac:dyDescent="0.3">
      <c r="F30" s="64">
        <v>203700</v>
      </c>
      <c r="G30" s="65" t="s">
        <v>107</v>
      </c>
    </row>
    <row r="31" spans="1:11" x14ac:dyDescent="0.3">
      <c r="F31" s="66">
        <v>203700</v>
      </c>
      <c r="G31" s="39" t="s">
        <v>109</v>
      </c>
    </row>
    <row r="32" spans="1:11" x14ac:dyDescent="0.3">
      <c r="F32" s="66">
        <v>203700</v>
      </c>
      <c r="G32" s="39" t="s">
        <v>111</v>
      </c>
    </row>
    <row r="33" spans="6:7" x14ac:dyDescent="0.3">
      <c r="F33" s="66">
        <f>SUM(F21:F32)</f>
        <v>2546250</v>
      </c>
      <c r="G33" s="67">
        <f>B5-F33+H25+I25+J25-K25</f>
        <v>0</v>
      </c>
    </row>
  </sheetData>
  <autoFilter ref="A4:D4" xr:uid="{2D74630C-799F-40C6-9EC6-2F4F65C936B2}"/>
  <pageMargins left="0.7" right="0.7" top="0.75" bottom="0.75" header="0.3" footer="0.3"/>
  <pageSetup scale="8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630C-799F-40C6-9EC6-2F4F65C936B2}">
  <sheetPr codeName="Sheet8"/>
  <dimension ref="A1:L33"/>
  <sheetViews>
    <sheetView showGridLines="0" zoomScale="110" zoomScaleNormal="110" workbookViewId="0">
      <pane ySplit="4" topLeftCell="A8" activePane="bottomLeft" state="frozen"/>
      <selection activeCell="H7" sqref="H7"/>
      <selection pane="bottomLeft" activeCell="H7" sqref="H7"/>
    </sheetView>
  </sheetViews>
  <sheetFormatPr defaultColWidth="8.88671875" defaultRowHeight="14.4" x14ac:dyDescent="0.3"/>
  <cols>
    <col min="1" max="1" width="55.6640625" style="39" customWidth="1"/>
    <col min="2" max="4" width="12.6640625" style="39" customWidth="1"/>
    <col min="5" max="5" width="9.44140625" style="39" bestFit="1" customWidth="1"/>
    <col min="6" max="6" width="9.5546875" style="39" bestFit="1" customWidth="1"/>
    <col min="7" max="7" width="13.6640625" style="39" customWidth="1"/>
    <col min="8" max="11" width="8.88671875" style="39"/>
    <col min="12" max="12" width="16.109375" style="39" bestFit="1" customWidth="1"/>
    <col min="13" max="16384" width="8.88671875" style="39"/>
  </cols>
  <sheetData>
    <row r="1" spans="1:12" ht="19.95" customHeight="1" x14ac:dyDescent="0.3">
      <c r="A1" s="45" t="s">
        <v>76</v>
      </c>
      <c r="E1" s="46">
        <v>45481</v>
      </c>
    </row>
    <row r="2" spans="1:12" ht="19.95" customHeight="1" x14ac:dyDescent="0.3">
      <c r="A2" s="47" t="str">
        <f>_xlfn.CONCAT("Statement of Accounts as of ",TEXT(E1,"MMMMMMM DD, YYYY"))</f>
        <v>Statement of Accounts as of July 08, 2024</v>
      </c>
    </row>
    <row r="3" spans="1:12" ht="19.95" customHeight="1" x14ac:dyDescent="0.3"/>
    <row r="4" spans="1:12" s="40" customFormat="1" ht="30" customHeight="1" x14ac:dyDescent="0.3">
      <c r="A4" s="42" t="s">
        <v>51</v>
      </c>
      <c r="B4" s="43" t="s">
        <v>52</v>
      </c>
      <c r="C4" s="43" t="s">
        <v>83</v>
      </c>
      <c r="D4" s="44" t="s">
        <v>57</v>
      </c>
    </row>
    <row r="5" spans="1:12" s="40" customFormat="1" ht="15" customHeight="1" x14ac:dyDescent="0.3">
      <c r="A5" s="48" t="s">
        <v>60</v>
      </c>
      <c r="B5" s="49">
        <v>2546250</v>
      </c>
      <c r="C5" s="50"/>
      <c r="D5" s="51">
        <f>B5-C5</f>
        <v>2546250</v>
      </c>
    </row>
    <row r="6" spans="1:12" s="40" customFormat="1" ht="15" customHeight="1" x14ac:dyDescent="0.3">
      <c r="A6" s="52" t="s">
        <v>135</v>
      </c>
      <c r="B6" s="53"/>
      <c r="C6" s="54">
        <v>509250</v>
      </c>
      <c r="D6" s="55">
        <f>D5+'08.Jul.2024'!$B6-'08.Jul.2024'!$C6</f>
        <v>2037000</v>
      </c>
    </row>
    <row r="7" spans="1:12" s="40" customFormat="1" ht="15" customHeight="1" x14ac:dyDescent="0.3">
      <c r="A7" s="48" t="s">
        <v>136</v>
      </c>
      <c r="B7" s="50"/>
      <c r="C7" s="49">
        <v>135800.70000000001</v>
      </c>
      <c r="D7" s="51">
        <f>D6+'08.Jul.2024'!$B7-'08.Jul.2024'!$C7</f>
        <v>1901199.3</v>
      </c>
    </row>
    <row r="8" spans="1:12" s="40" customFormat="1" ht="15" customHeight="1" x14ac:dyDescent="0.3">
      <c r="A8" s="52" t="s">
        <v>137</v>
      </c>
      <c r="B8" s="53"/>
      <c r="C8" s="54">
        <v>135799.65</v>
      </c>
      <c r="D8" s="55">
        <f>D7+'08.Jul.2024'!$B8-'08.Jul.2024'!$C8</f>
        <v>1765399.6500000001</v>
      </c>
      <c r="L8" s="56"/>
    </row>
    <row r="9" spans="1:12" s="40" customFormat="1" ht="15" customHeight="1" x14ac:dyDescent="0.3">
      <c r="A9" s="48" t="s">
        <v>138</v>
      </c>
      <c r="B9" s="50"/>
      <c r="C9" s="49">
        <v>135799.65</v>
      </c>
      <c r="D9" s="51">
        <f>D8+'08.Jul.2024'!$B9-'08.Jul.2024'!$C9</f>
        <v>1629600.0000000002</v>
      </c>
    </row>
    <row r="10" spans="1:12" s="40" customFormat="1" ht="15" customHeight="1" x14ac:dyDescent="0.3">
      <c r="A10" s="52" t="s">
        <v>139</v>
      </c>
      <c r="B10" s="53"/>
      <c r="C10" s="54">
        <v>203700</v>
      </c>
      <c r="D10" s="55">
        <f>D9+'08.Jul.2024'!$B10-'08.Jul.2024'!$C10</f>
        <v>1425900.0000000002</v>
      </c>
    </row>
    <row r="11" spans="1:12" s="40" customFormat="1" ht="15" customHeight="1" x14ac:dyDescent="0.3">
      <c r="A11" s="48" t="s">
        <v>140</v>
      </c>
      <c r="B11" s="50"/>
      <c r="C11" s="49">
        <v>203700</v>
      </c>
      <c r="D11" s="51">
        <f>D10+'08.Jul.2024'!$B11-'08.Jul.2024'!$C11</f>
        <v>1222200.0000000002</v>
      </c>
    </row>
    <row r="12" spans="1:12" s="40" customFormat="1" ht="15" customHeight="1" x14ac:dyDescent="0.3">
      <c r="A12" s="52" t="s">
        <v>141</v>
      </c>
      <c r="B12" s="53"/>
      <c r="C12" s="54">
        <v>203700</v>
      </c>
      <c r="D12" s="55">
        <f>D11+'08.Jul.2024'!$B12-'08.Jul.2024'!$C12</f>
        <v>1018500.0000000002</v>
      </c>
    </row>
    <row r="13" spans="1:12" s="40" customFormat="1" ht="15" customHeight="1" x14ac:dyDescent="0.3">
      <c r="A13" s="48"/>
      <c r="B13" s="50"/>
      <c r="C13" s="49"/>
      <c r="D13" s="51"/>
    </row>
    <row r="14" spans="1:12" s="40" customFormat="1" ht="15" customHeight="1" x14ac:dyDescent="0.3">
      <c r="A14" s="52"/>
      <c r="B14" s="53"/>
      <c r="C14" s="54"/>
      <c r="D14" s="55"/>
    </row>
    <row r="15" spans="1:12" s="40" customFormat="1" ht="15" customHeight="1" x14ac:dyDescent="0.3">
      <c r="A15" s="48"/>
      <c r="B15" s="50"/>
      <c r="C15" s="49"/>
      <c r="D15" s="51"/>
    </row>
    <row r="16" spans="1:12" s="40" customFormat="1" ht="15" customHeight="1" thickBot="1" x14ac:dyDescent="0.35">
      <c r="A16" s="52"/>
      <c r="B16" s="53"/>
      <c r="C16" s="54"/>
      <c r="D16" s="55"/>
    </row>
    <row r="17" spans="1:11" s="40" customFormat="1" ht="15" customHeight="1" thickTop="1" x14ac:dyDescent="0.3">
      <c r="A17" s="57" t="s">
        <v>44</v>
      </c>
      <c r="B17" s="58">
        <f>SUBTOTAL(9,B5:B16)</f>
        <v>2546250</v>
      </c>
      <c r="C17" s="58">
        <f t="shared" ref="C17" si="0">SUBTOTAL(9,C5:C16)</f>
        <v>1527750</v>
      </c>
      <c r="D17" s="59">
        <f>B17-C17</f>
        <v>1018500</v>
      </c>
    </row>
    <row r="18" spans="1:11" s="40" customFormat="1" ht="15" customHeight="1" x14ac:dyDescent="0.3"/>
    <row r="19" spans="1:11" s="40" customFormat="1" ht="15" customHeight="1" x14ac:dyDescent="0.3">
      <c r="A19" s="41" t="s">
        <v>29</v>
      </c>
      <c r="B19" s="60"/>
      <c r="C19" s="60">
        <f>'08.Jul.2024'!$C$17/'08.Jul.2024'!$B$17</f>
        <v>0.6</v>
      </c>
      <c r="D19" s="61"/>
    </row>
    <row r="20" spans="1:11" ht="15" customHeight="1" x14ac:dyDescent="0.3"/>
    <row r="21" spans="1:11" x14ac:dyDescent="0.3">
      <c r="F21" s="62">
        <v>509250</v>
      </c>
      <c r="G21" s="63" t="s">
        <v>87</v>
      </c>
    </row>
    <row r="22" spans="1:11" x14ac:dyDescent="0.3">
      <c r="F22" s="63">
        <v>135800.70000000001</v>
      </c>
      <c r="G22" s="63" t="s">
        <v>88</v>
      </c>
      <c r="H22" s="27" t="s">
        <v>89</v>
      </c>
      <c r="I22" s="27" t="s">
        <v>90</v>
      </c>
      <c r="J22" s="33" t="s">
        <v>91</v>
      </c>
      <c r="K22" s="27" t="s">
        <v>44</v>
      </c>
    </row>
    <row r="23" spans="1:11" x14ac:dyDescent="0.3">
      <c r="F23" s="63">
        <v>135799.65</v>
      </c>
      <c r="G23" s="63" t="s">
        <v>93</v>
      </c>
      <c r="H23" s="28">
        <f>485000</f>
        <v>485000</v>
      </c>
      <c r="I23" s="28">
        <v>970000</v>
      </c>
      <c r="J23" s="28">
        <v>970000</v>
      </c>
      <c r="K23" s="27">
        <f>SUM(H23:J23)</f>
        <v>2425000</v>
      </c>
    </row>
    <row r="24" spans="1:11" ht="15" thickBot="1" x14ac:dyDescent="0.35">
      <c r="F24" s="63">
        <v>135799.65</v>
      </c>
      <c r="G24" s="63" t="s">
        <v>95</v>
      </c>
      <c r="H24" s="29">
        <f>H23*5%</f>
        <v>24250</v>
      </c>
      <c r="I24" s="29">
        <f>I23*5%</f>
        <v>48500</v>
      </c>
      <c r="J24" s="29">
        <f>J23*5%</f>
        <v>48500</v>
      </c>
      <c r="K24" s="30">
        <f>K23*5%</f>
        <v>121250</v>
      </c>
    </row>
    <row r="25" spans="1:11" ht="15.6" thickTop="1" thickBot="1" x14ac:dyDescent="0.35">
      <c r="F25" s="62">
        <v>203700</v>
      </c>
      <c r="G25" s="63" t="s">
        <v>97</v>
      </c>
      <c r="H25" s="31">
        <f>H23+H24</f>
        <v>509250</v>
      </c>
      <c r="I25" s="31">
        <f>I23+I24</f>
        <v>1018500</v>
      </c>
      <c r="J25" s="31">
        <f>J23+J24</f>
        <v>1018500</v>
      </c>
      <c r="K25" s="32">
        <f>K23+K24</f>
        <v>2546250</v>
      </c>
    </row>
    <row r="26" spans="1:11" x14ac:dyDescent="0.3">
      <c r="F26" s="62">
        <v>203700</v>
      </c>
      <c r="G26" s="63" t="s">
        <v>99</v>
      </c>
    </row>
    <row r="27" spans="1:11" x14ac:dyDescent="0.3">
      <c r="F27" s="64">
        <v>203700</v>
      </c>
      <c r="G27" s="65" t="s">
        <v>101</v>
      </c>
    </row>
    <row r="28" spans="1:11" x14ac:dyDescent="0.3">
      <c r="F28" s="66">
        <v>203700</v>
      </c>
      <c r="G28" s="39" t="s">
        <v>103</v>
      </c>
    </row>
    <row r="29" spans="1:11" x14ac:dyDescent="0.3">
      <c r="F29" s="66">
        <v>203700</v>
      </c>
      <c r="G29" s="39" t="s">
        <v>105</v>
      </c>
    </row>
    <row r="30" spans="1:11" x14ac:dyDescent="0.3">
      <c r="F30" s="66">
        <v>203700</v>
      </c>
      <c r="G30" s="39" t="s">
        <v>107</v>
      </c>
    </row>
    <row r="31" spans="1:11" x14ac:dyDescent="0.3">
      <c r="F31" s="66">
        <v>203700</v>
      </c>
      <c r="G31" s="39" t="s">
        <v>109</v>
      </c>
    </row>
    <row r="32" spans="1:11" x14ac:dyDescent="0.3">
      <c r="F32" s="66">
        <v>203700</v>
      </c>
      <c r="G32" s="39" t="s">
        <v>111</v>
      </c>
    </row>
    <row r="33" spans="6:7" x14ac:dyDescent="0.3">
      <c r="F33" s="66">
        <f>SUM(F21:F32)</f>
        <v>2546250</v>
      </c>
      <c r="G33" s="67">
        <f>B5-F33+H25+I25+J25-K25</f>
        <v>0</v>
      </c>
    </row>
  </sheetData>
  <autoFilter ref="A4:D4" xr:uid="{2D74630C-799F-40C6-9EC6-2F4F65C936B2}"/>
  <pageMargins left="0.7" right="0.7" top="0.75" bottom="0.75" header="0.3" footer="0.3"/>
  <pageSetup scale="87" orientation="portrait" r:id="rId1"/>
  <ignoredErrors>
    <ignoredError sqref="D5 D6:D12" calculatedColum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E31A-A55B-4506-ABD0-038701D244C3}">
  <sheetPr codeName="Sheet9"/>
  <dimension ref="A1:L12"/>
  <sheetViews>
    <sheetView showGridLines="0" workbookViewId="0">
      <selection activeCell="H7" sqref="H7"/>
    </sheetView>
  </sheetViews>
  <sheetFormatPr defaultRowHeight="14.4" x14ac:dyDescent="0.3"/>
  <cols>
    <col min="1" max="1" width="42.5546875" bestFit="1" customWidth="1"/>
    <col min="2" max="2" width="14.88671875" customWidth="1"/>
    <col min="3" max="3" width="11.33203125" bestFit="1" customWidth="1"/>
    <col min="4" max="4" width="11.109375" bestFit="1" customWidth="1"/>
    <col min="6" max="6" width="9.5546875" bestFit="1" customWidth="1"/>
    <col min="7" max="7" width="13.6640625" customWidth="1"/>
    <col min="12" max="12" width="16.109375" bestFit="1" customWidth="1"/>
  </cols>
  <sheetData>
    <row r="1" spans="1:12" ht="19.8" x14ac:dyDescent="0.4">
      <c r="A1" s="4" t="s">
        <v>76</v>
      </c>
    </row>
    <row r="2" spans="1:12" ht="17.399999999999999" x14ac:dyDescent="0.35">
      <c r="A2" s="5" t="s">
        <v>145</v>
      </c>
    </row>
    <row r="4" spans="1:12" ht="28.8" x14ac:dyDescent="0.3">
      <c r="A4" s="1" t="s">
        <v>51</v>
      </c>
      <c r="B4" s="2" t="s">
        <v>52</v>
      </c>
      <c r="C4" s="2" t="s">
        <v>83</v>
      </c>
      <c r="D4" s="2" t="s">
        <v>57</v>
      </c>
    </row>
    <row r="5" spans="1:12" x14ac:dyDescent="0.3">
      <c r="A5" s="3" t="s">
        <v>60</v>
      </c>
      <c r="B5" s="6">
        <v>2546250</v>
      </c>
      <c r="C5" s="7"/>
      <c r="D5" s="7">
        <f>B5-C5</f>
        <v>2546250</v>
      </c>
    </row>
    <row r="6" spans="1:12" x14ac:dyDescent="0.3">
      <c r="A6" s="3" t="s">
        <v>135</v>
      </c>
      <c r="B6" s="7"/>
      <c r="C6" s="6">
        <v>509250</v>
      </c>
      <c r="D6" s="7">
        <f>B6-C6</f>
        <v>-509250</v>
      </c>
    </row>
    <row r="7" spans="1:12" x14ac:dyDescent="0.3">
      <c r="A7" s="3" t="s">
        <v>136</v>
      </c>
      <c r="B7" s="7"/>
      <c r="C7" s="6">
        <v>135800.70000000001</v>
      </c>
      <c r="D7" s="7">
        <f>D6+B7-C7</f>
        <v>-645050.69999999995</v>
      </c>
    </row>
    <row r="8" spans="1:12" x14ac:dyDescent="0.3">
      <c r="A8" s="3" t="s">
        <v>137</v>
      </c>
      <c r="B8" s="7"/>
      <c r="C8" s="6">
        <v>135799.65</v>
      </c>
      <c r="D8" s="7">
        <f>D7+B8-C8</f>
        <v>-780850.35</v>
      </c>
      <c r="L8" s="11"/>
    </row>
    <row r="9" spans="1:12" x14ac:dyDescent="0.3">
      <c r="A9" s="3" t="s">
        <v>138</v>
      </c>
      <c r="B9" s="7"/>
      <c r="C9" s="6">
        <v>135799.65</v>
      </c>
      <c r="D9" s="7">
        <f>D8+B9-C9</f>
        <v>-916650</v>
      </c>
    </row>
    <row r="10" spans="1:12" x14ac:dyDescent="0.3">
      <c r="A10" s="3" t="s">
        <v>44</v>
      </c>
      <c r="B10" s="7">
        <f>SUBTOTAL(109,Table13458151617[Contract Value
--AED--])</f>
        <v>2546250</v>
      </c>
      <c r="C10" s="7">
        <f>SUBTOTAL(109,Table13458151617[Payment
--AED--])</f>
        <v>916650</v>
      </c>
      <c r="D10" s="7">
        <f>Table13458151617[[#Totals],[Contract Value
--AED--]]-Table13458151617[[#Totals],[Payment
--AED--]]</f>
        <v>1629600</v>
      </c>
    </row>
    <row r="12" spans="1:12" ht="17.399999999999999" x14ac:dyDescent="0.35">
      <c r="A12" s="9" t="s">
        <v>29</v>
      </c>
      <c r="B12" s="10"/>
      <c r="C12" s="10">
        <f>Table13458151617[[#Totals],[Payment
--AED--]]/Table13458151617[[#Totals],[Contract Value
--AED--]]</f>
        <v>0.36</v>
      </c>
      <c r="D12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F561-1F49-43EE-982F-2FC0DC780FCC}">
  <sheetPr codeName="Sheet10">
    <tabColor rgb="FFFFFF00"/>
  </sheetPr>
  <dimension ref="A2:J33"/>
  <sheetViews>
    <sheetView workbookViewId="0">
      <selection activeCell="H15" sqref="H15"/>
    </sheetView>
  </sheetViews>
  <sheetFormatPr defaultRowHeight="14.4" x14ac:dyDescent="0.3"/>
  <cols>
    <col min="1" max="1" width="52.109375" customWidth="1"/>
    <col min="2" max="2" width="8.33203125" bestFit="1" customWidth="1"/>
    <col min="3" max="3" width="8" bestFit="1" customWidth="1"/>
    <col min="4" max="6" width="16.44140625" customWidth="1"/>
    <col min="9" max="10" width="8.88671875" style="38"/>
  </cols>
  <sheetData>
    <row r="2" spans="1:6" x14ac:dyDescent="0.3">
      <c r="A2" s="12" t="s">
        <v>146</v>
      </c>
      <c r="B2" s="24" t="s">
        <v>147</v>
      </c>
      <c r="C2" s="23" t="s">
        <v>148</v>
      </c>
      <c r="D2" s="13" t="s">
        <v>149</v>
      </c>
      <c r="E2" s="13" t="s">
        <v>150</v>
      </c>
      <c r="F2" s="14" t="s">
        <v>151</v>
      </c>
    </row>
    <row r="3" spans="1:6" x14ac:dyDescent="0.3">
      <c r="A3" s="22" t="s">
        <v>152</v>
      </c>
      <c r="B3" s="25" t="s">
        <v>153</v>
      </c>
      <c r="C3" s="35" t="e">
        <f>#REF!</f>
        <v>#REF!</v>
      </c>
      <c r="D3" s="15" t="e">
        <f>#REF!</f>
        <v>#REF!</v>
      </c>
      <c r="E3" s="16" t="e">
        <f>#REF!</f>
        <v>#REF!</v>
      </c>
      <c r="F3" s="17" t="e">
        <f>#REF!</f>
        <v>#REF!</v>
      </c>
    </row>
    <row r="4" spans="1:6" x14ac:dyDescent="0.3">
      <c r="A4" s="36" t="s">
        <v>154</v>
      </c>
      <c r="B4" s="26"/>
      <c r="C4" s="34"/>
      <c r="D4" s="18"/>
      <c r="E4" s="19"/>
      <c r="F4" s="20"/>
    </row>
    <row r="5" spans="1:6" x14ac:dyDescent="0.3">
      <c r="A5" s="37" t="s">
        <v>155</v>
      </c>
      <c r="B5" s="25"/>
      <c r="C5" s="35"/>
      <c r="D5" s="16"/>
      <c r="E5" s="15"/>
      <c r="F5" s="17"/>
    </row>
    <row r="6" spans="1:6" x14ac:dyDescent="0.3">
      <c r="A6" s="21" t="s">
        <v>76</v>
      </c>
      <c r="B6" s="18" t="s">
        <v>153</v>
      </c>
      <c r="C6" s="34">
        <f>'08.Jul.2024'!C19</f>
        <v>0.6</v>
      </c>
      <c r="D6" s="18">
        <f>'08.Jul.2024'!$B$17</f>
        <v>2546250</v>
      </c>
      <c r="E6" s="19">
        <f>'08.Jul.2024'!$C$17</f>
        <v>1527750</v>
      </c>
      <c r="F6" s="20">
        <f>'08.Jul.2024'!$D$17</f>
        <v>1018500</v>
      </c>
    </row>
    <row r="7" spans="1:6" x14ac:dyDescent="0.3">
      <c r="A7" s="37" t="s">
        <v>156</v>
      </c>
      <c r="B7" s="25"/>
      <c r="C7" s="35"/>
      <c r="D7" s="16"/>
      <c r="E7" s="15"/>
      <c r="F7" s="17"/>
    </row>
    <row r="8" spans="1:6" x14ac:dyDescent="0.3">
      <c r="A8" s="21" t="s">
        <v>157</v>
      </c>
      <c r="B8" s="26" t="s">
        <v>158</v>
      </c>
      <c r="C8" s="34" t="e">
        <f>#REF!</f>
        <v>#REF!</v>
      </c>
      <c r="D8" s="18" t="e">
        <f>#REF!</f>
        <v>#REF!</v>
      </c>
      <c r="E8" s="19" t="e">
        <f>#REF!</f>
        <v>#REF!</v>
      </c>
      <c r="F8" s="20" t="e">
        <f>#REF!</f>
        <v>#REF!</v>
      </c>
    </row>
    <row r="9" spans="1:6" x14ac:dyDescent="0.3">
      <c r="A9" s="22" t="s">
        <v>159</v>
      </c>
      <c r="B9" s="25" t="s">
        <v>153</v>
      </c>
      <c r="C9" s="35" t="e">
        <f>#REF!</f>
        <v>#REF!</v>
      </c>
      <c r="D9" s="16" t="e">
        <f>#REF!</f>
        <v>#REF!</v>
      </c>
      <c r="E9" s="15" t="e">
        <f>#REF!</f>
        <v>#REF!</v>
      </c>
      <c r="F9" s="17" t="e">
        <f>#REF!</f>
        <v>#REF!</v>
      </c>
    </row>
    <row r="10" spans="1:6" x14ac:dyDescent="0.3">
      <c r="A10" s="36" t="s">
        <v>160</v>
      </c>
      <c r="B10" s="26"/>
      <c r="C10" s="34"/>
      <c r="D10" s="18"/>
      <c r="E10" s="19"/>
      <c r="F10" s="20"/>
    </row>
    <row r="11" spans="1:6" x14ac:dyDescent="0.3">
      <c r="A11" s="37" t="s">
        <v>161</v>
      </c>
      <c r="B11" s="25"/>
      <c r="C11" s="35"/>
      <c r="D11" s="16"/>
      <c r="E11" s="15"/>
      <c r="F11" s="17"/>
    </row>
    <row r="12" spans="1:6" x14ac:dyDescent="0.3">
      <c r="A12" s="36" t="s">
        <v>162</v>
      </c>
      <c r="B12" s="26"/>
      <c r="C12" s="34"/>
      <c r="D12" s="18"/>
      <c r="E12" s="19"/>
      <c r="F12" s="20"/>
    </row>
    <row r="13" spans="1:6" x14ac:dyDescent="0.3">
      <c r="A13" s="37" t="s">
        <v>163</v>
      </c>
      <c r="B13" s="25"/>
      <c r="C13" s="35"/>
      <c r="D13" s="16"/>
      <c r="E13" s="15"/>
      <c r="F13" s="17"/>
    </row>
    <row r="14" spans="1:6" x14ac:dyDescent="0.3">
      <c r="A14" s="21" t="s">
        <v>164</v>
      </c>
      <c r="B14" s="26" t="s">
        <v>153</v>
      </c>
      <c r="C14" s="34" t="e">
        <f>#REF!</f>
        <v>#REF!</v>
      </c>
      <c r="D14" s="18" t="e">
        <f>#REF!</f>
        <v>#REF!</v>
      </c>
      <c r="E14" s="19" t="e">
        <f>#REF!</f>
        <v>#REF!</v>
      </c>
      <c r="F14" s="20" t="e">
        <f>#REF!</f>
        <v>#REF!</v>
      </c>
    </row>
    <row r="15" spans="1:6" x14ac:dyDescent="0.3">
      <c r="A15" s="22" t="s">
        <v>165</v>
      </c>
      <c r="B15" s="25" t="s">
        <v>153</v>
      </c>
      <c r="C15" s="35" t="e">
        <f>#REF!</f>
        <v>#REF!</v>
      </c>
      <c r="D15" s="16" t="e">
        <f>#REF!</f>
        <v>#REF!</v>
      </c>
      <c r="E15" s="15" t="e">
        <f>#REF!</f>
        <v>#REF!</v>
      </c>
      <c r="F15" s="17" t="e">
        <f>#REF!</f>
        <v>#REF!</v>
      </c>
    </row>
    <row r="16" spans="1:6" x14ac:dyDescent="0.3">
      <c r="A16" s="21" t="s">
        <v>166</v>
      </c>
      <c r="B16" s="26" t="s">
        <v>167</v>
      </c>
      <c r="C16" s="34" t="e">
        <f>#REF!</f>
        <v>#REF!</v>
      </c>
      <c r="D16" s="18" t="e">
        <f>#REF!</f>
        <v>#REF!</v>
      </c>
      <c r="E16" s="19" t="e">
        <f>#REF!</f>
        <v>#REF!</v>
      </c>
      <c r="F16" s="20" t="e">
        <f>#REF!</f>
        <v>#REF!</v>
      </c>
    </row>
    <row r="17" spans="1:6" x14ac:dyDescent="0.3">
      <c r="A17" s="22" t="s">
        <v>168</v>
      </c>
      <c r="B17" s="25" t="s">
        <v>153</v>
      </c>
      <c r="C17" s="35" t="e">
        <f>#REF!</f>
        <v>#REF!</v>
      </c>
      <c r="D17" s="16" t="e">
        <f>#REF!</f>
        <v>#REF!</v>
      </c>
      <c r="E17" s="15" t="e">
        <f>#REF!</f>
        <v>#REF!</v>
      </c>
      <c r="F17" s="17" t="e">
        <f>#REF!</f>
        <v>#REF!</v>
      </c>
    </row>
    <row r="18" spans="1:6" x14ac:dyDescent="0.3">
      <c r="A18" s="21" t="s">
        <v>169</v>
      </c>
      <c r="B18" s="26" t="s">
        <v>170</v>
      </c>
      <c r="C18" s="34" t="e">
        <f>#REF!</f>
        <v>#REF!</v>
      </c>
      <c r="D18" s="18" t="e">
        <f>#REF!</f>
        <v>#REF!</v>
      </c>
      <c r="E18" s="19" t="e">
        <f>#REF!</f>
        <v>#REF!</v>
      </c>
      <c r="F18" s="20" t="e">
        <f>#REF!</f>
        <v>#REF!</v>
      </c>
    </row>
    <row r="19" spans="1:6" x14ac:dyDescent="0.3">
      <c r="A19" s="22" t="s">
        <v>171</v>
      </c>
      <c r="B19" s="25" t="s">
        <v>153</v>
      </c>
      <c r="C19" s="35" t="e">
        <f>#REF!</f>
        <v>#REF!</v>
      </c>
      <c r="D19" s="16" t="e">
        <f>#REF!</f>
        <v>#REF!</v>
      </c>
      <c r="E19" s="15" t="e">
        <f>#REF!</f>
        <v>#REF!</v>
      </c>
      <c r="F19" s="17" t="e">
        <f>#REF!</f>
        <v>#REF!</v>
      </c>
    </row>
    <row r="20" spans="1:6" x14ac:dyDescent="0.3">
      <c r="A20" s="21" t="s">
        <v>172</v>
      </c>
      <c r="B20" s="26" t="s">
        <v>153</v>
      </c>
      <c r="C20" s="34" t="e">
        <f>#REF!</f>
        <v>#REF!</v>
      </c>
      <c r="D20" s="18" t="e">
        <f>#REF!</f>
        <v>#REF!</v>
      </c>
      <c r="E20" s="19" t="e">
        <f>#REF!</f>
        <v>#REF!</v>
      </c>
      <c r="F20" s="20" t="e">
        <f>#REF!</f>
        <v>#REF!</v>
      </c>
    </row>
    <row r="21" spans="1:6" x14ac:dyDescent="0.3">
      <c r="A21" s="22" t="s">
        <v>173</v>
      </c>
      <c r="B21" s="25" t="s">
        <v>153</v>
      </c>
      <c r="C21" s="35" t="e">
        <f>#REF!</f>
        <v>#REF!</v>
      </c>
      <c r="D21" s="16" t="e">
        <f>#REF!</f>
        <v>#REF!</v>
      </c>
      <c r="E21" s="15" t="e">
        <f>#REF!</f>
        <v>#REF!</v>
      </c>
      <c r="F21" s="17" t="e">
        <f>#REF!</f>
        <v>#REF!</v>
      </c>
    </row>
    <row r="23" spans="1:6" ht="17.399999999999999" x14ac:dyDescent="0.35">
      <c r="A23" s="9"/>
      <c r="B23" s="10"/>
      <c r="C23" s="10"/>
      <c r="D23" s="10"/>
      <c r="E23" s="8"/>
    </row>
    <row r="24" spans="1:6" ht="15.6" x14ac:dyDescent="0.3">
      <c r="A24" s="9"/>
    </row>
    <row r="25" spans="1:6" ht="15.6" x14ac:dyDescent="0.3">
      <c r="A25" s="9"/>
    </row>
    <row r="26" spans="1:6" ht="15.6" x14ac:dyDescent="0.3">
      <c r="A26" s="9"/>
    </row>
    <row r="27" spans="1:6" ht="15.6" x14ac:dyDescent="0.3">
      <c r="A27" s="9"/>
    </row>
    <row r="28" spans="1:6" ht="15.6" x14ac:dyDescent="0.3">
      <c r="A28" s="9"/>
    </row>
    <row r="29" spans="1:6" ht="15.6" x14ac:dyDescent="0.3">
      <c r="A29" s="9"/>
    </row>
    <row r="30" spans="1:6" ht="15.6" x14ac:dyDescent="0.3">
      <c r="A30" s="9"/>
    </row>
    <row r="31" spans="1:6" ht="15.6" x14ac:dyDescent="0.3">
      <c r="A31" s="9"/>
    </row>
    <row r="32" spans="1:6" ht="15.6" x14ac:dyDescent="0.3">
      <c r="A32" s="9"/>
    </row>
    <row r="33" spans="1:1" ht="15.6" x14ac:dyDescent="0.3">
      <c r="A3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SOA</vt:lpstr>
      <vt:lpstr>Summary</vt:lpstr>
      <vt:lpstr>Main Contract</vt:lpstr>
      <vt:lpstr>Variations</vt:lpstr>
      <vt:lpstr>Sheet1</vt:lpstr>
      <vt:lpstr>14.Nov.2024</vt:lpstr>
      <vt:lpstr>13.Sep.2024</vt:lpstr>
      <vt:lpstr>09.Jul.2024</vt:lpstr>
      <vt:lpstr>08.Jul.2024</vt:lpstr>
      <vt:lpstr>31.Dec.2023</vt:lpstr>
      <vt:lpstr>Vendor List</vt:lpstr>
      <vt:lpstr>'08.Jul.2024'!Print_Area</vt:lpstr>
      <vt:lpstr>'09.Jul.2024'!Print_Area</vt:lpstr>
      <vt:lpstr>'13.Sep.2024'!Print_Area</vt:lpstr>
      <vt:lpstr>'14.Nov.2024'!Print_Area</vt:lpstr>
      <vt:lpstr>'Main Contract'!Print_Area</vt:lpstr>
      <vt:lpstr>SOA!Print_Area</vt:lpstr>
      <vt:lpstr>Summary!Print_Area</vt:lpstr>
      <vt:lpstr>Variations!Print_Area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Umair Khan</dc:creator>
  <cp:keywords/>
  <dc:description/>
  <cp:lastModifiedBy>Usman Khan</cp:lastModifiedBy>
  <cp:revision/>
  <cp:lastPrinted>2026-08-20T08:06:41Z</cp:lastPrinted>
  <dcterms:created xsi:type="dcterms:W3CDTF">2023-11-14T05:28:09Z</dcterms:created>
  <dcterms:modified xsi:type="dcterms:W3CDTF">2026-08-27T07:06:35Z</dcterms:modified>
  <cp:category/>
  <cp:contentStatus/>
</cp:coreProperties>
</file>